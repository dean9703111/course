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haohsun\OneDrive - 達和環保服務股份有限公司\2024維修KPI\"/>
    </mc:Choice>
  </mc:AlternateContent>
  <xr:revisionPtr revIDLastSave="0" documentId="13_ncr:1_{748C50E2-7735-41C4-A8A7-7E20D28EFF55}" xr6:coauthVersionLast="47" xr6:coauthVersionMax="47" xr10:uidLastSave="{00000000-0000-0000-0000-000000000000}"/>
  <bookViews>
    <workbookView xWindow="-28920" yWindow="-120" windowWidth="29040" windowHeight="15720" activeTab="4" xr2:uid="{80E38896-C6F6-4246-9725-0328E46BD999}"/>
  </bookViews>
  <sheets>
    <sheet name="KPI目標說明" sheetId="1" r:id="rId1"/>
    <sheet name="Jan" sheetId="2" r:id="rId2"/>
    <sheet name="Feb" sheetId="5" r:id="rId3"/>
    <sheet name="Mar" sheetId="6" r:id="rId4"/>
    <sheet name="Apr" sheetId="7" r:id="rId5"/>
    <sheet name="May" sheetId="8" r:id="rId6"/>
    <sheet name="Jun" sheetId="9" r:id="rId7"/>
    <sheet name="Jul" sheetId="10" r:id="rId8"/>
    <sheet name="Aug" sheetId="11" r:id="rId9"/>
    <sheet name="Sep" sheetId="12" r:id="rId10"/>
    <sheet name="Oct" sheetId="13" r:id="rId11"/>
    <sheet name="Nov" sheetId="14" r:id="rId12"/>
    <sheet name="Dec" sheetId="15" r:id="rId13"/>
    <sheet name="每月結單數量差異" sheetId="4" r:id="rId14"/>
    <sheet name="結單率" sheetId="3" r:id="rId15"/>
    <sheet name="預保次數統計" sheetId="16" r:id="rId16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J3" i="7" l="1"/>
  <c r="F3" i="7" l="1"/>
  <c r="E3" i="7" l="1"/>
  <c r="K3" i="7" l="1"/>
  <c r="C3" i="7" l="1"/>
  <c r="H2" i="7" l="1"/>
  <c r="H3" i="7"/>
  <c r="I3" i="7" l="1"/>
  <c r="D3" i="7" l="1"/>
  <c r="C7" i="3" l="1"/>
  <c r="D7" i="3"/>
  <c r="E7" i="3"/>
  <c r="F7" i="3"/>
  <c r="G7" i="3"/>
  <c r="H7" i="3"/>
  <c r="I7" i="3"/>
  <c r="J13" i="16" l="1"/>
  <c r="J12" i="16"/>
  <c r="J11" i="16"/>
  <c r="J10" i="16"/>
  <c r="J9" i="16"/>
  <c r="J8" i="16"/>
  <c r="J7" i="16"/>
  <c r="J6" i="16"/>
  <c r="J5" i="16"/>
  <c r="J4" i="16"/>
  <c r="J3" i="16"/>
  <c r="J2" i="16"/>
  <c r="N28" i="3"/>
  <c r="M28" i="3"/>
  <c r="L28" i="3"/>
  <c r="K28" i="3"/>
  <c r="J28" i="3"/>
  <c r="I28" i="3"/>
  <c r="H28" i="3"/>
  <c r="G28" i="3"/>
  <c r="F28" i="3"/>
  <c r="E28" i="3"/>
  <c r="D28" i="3"/>
  <c r="C28" i="3"/>
  <c r="P27" i="3"/>
  <c r="O27" i="3"/>
  <c r="P26" i="3"/>
  <c r="O26" i="3"/>
  <c r="I12" i="15"/>
  <c r="K17" i="15"/>
  <c r="K16" i="15"/>
  <c r="K15" i="15"/>
  <c r="K14" i="15"/>
  <c r="K13" i="15"/>
  <c r="K12" i="15"/>
  <c r="K20" i="15" s="1"/>
  <c r="K11" i="15"/>
  <c r="K10" i="15"/>
  <c r="K17" i="14"/>
  <c r="K16" i="14"/>
  <c r="K15" i="14"/>
  <c r="K14" i="14"/>
  <c r="K13" i="14"/>
  <c r="K12" i="14"/>
  <c r="K20" i="14" s="1"/>
  <c r="K11" i="14"/>
  <c r="K10" i="14"/>
  <c r="K17" i="13"/>
  <c r="K16" i="13"/>
  <c r="K15" i="13"/>
  <c r="K23" i="13" s="1"/>
  <c r="K14" i="13"/>
  <c r="K22" i="13" s="1"/>
  <c r="K13" i="13"/>
  <c r="K12" i="13"/>
  <c r="K11" i="13"/>
  <c r="K10" i="13"/>
  <c r="K18" i="13" s="1"/>
  <c r="K17" i="12"/>
  <c r="K16" i="12"/>
  <c r="K15" i="12"/>
  <c r="K14" i="12"/>
  <c r="K22" i="12" s="1"/>
  <c r="K13" i="12"/>
  <c r="K21" i="12" s="1"/>
  <c r="K12" i="12"/>
  <c r="K20" i="12" s="1"/>
  <c r="K11" i="12"/>
  <c r="K10" i="12"/>
  <c r="K18" i="12" s="1"/>
  <c r="K17" i="11"/>
  <c r="K16" i="11"/>
  <c r="K15" i="11"/>
  <c r="K14" i="11"/>
  <c r="K13" i="11"/>
  <c r="K12" i="11"/>
  <c r="K20" i="11" s="1"/>
  <c r="K11" i="11"/>
  <c r="K10" i="11"/>
  <c r="K18" i="11" s="1"/>
  <c r="K17" i="10"/>
  <c r="K16" i="10"/>
  <c r="K15" i="10"/>
  <c r="K14" i="10"/>
  <c r="K22" i="10" s="1"/>
  <c r="K13" i="10"/>
  <c r="K21" i="10" s="1"/>
  <c r="K12" i="10"/>
  <c r="K20" i="10" s="1"/>
  <c r="K11" i="10"/>
  <c r="K19" i="10" s="1"/>
  <c r="K10" i="10"/>
  <c r="K18" i="10" s="1"/>
  <c r="K17" i="9"/>
  <c r="K16" i="9"/>
  <c r="K15" i="9"/>
  <c r="K14" i="9"/>
  <c r="K13" i="9"/>
  <c r="K12" i="9"/>
  <c r="K11" i="9"/>
  <c r="K19" i="9" s="1"/>
  <c r="K10" i="9"/>
  <c r="K18" i="9" s="1"/>
  <c r="K17" i="8"/>
  <c r="K16" i="8"/>
  <c r="K15" i="8"/>
  <c r="K14" i="8"/>
  <c r="K13" i="8"/>
  <c r="K12" i="8"/>
  <c r="K11" i="8"/>
  <c r="K10" i="8"/>
  <c r="K17" i="7"/>
  <c r="K25" i="7" s="1"/>
  <c r="K16" i="7"/>
  <c r="K15" i="7"/>
  <c r="K14" i="7"/>
  <c r="K13" i="7"/>
  <c r="K12" i="7"/>
  <c r="K11" i="7"/>
  <c r="K10" i="7"/>
  <c r="K17" i="6"/>
  <c r="K16" i="6"/>
  <c r="K15" i="6"/>
  <c r="K14" i="6"/>
  <c r="K13" i="6"/>
  <c r="K12" i="6"/>
  <c r="K11" i="6"/>
  <c r="K10" i="6"/>
  <c r="K18" i="6" s="1"/>
  <c r="K17" i="5"/>
  <c r="K16" i="5"/>
  <c r="K15" i="5"/>
  <c r="K14" i="5"/>
  <c r="K13" i="5"/>
  <c r="K12" i="5"/>
  <c r="K20" i="5" s="1"/>
  <c r="K11" i="5"/>
  <c r="K19" i="5" s="1"/>
  <c r="K10" i="5"/>
  <c r="K18" i="5" s="1"/>
  <c r="K11" i="2"/>
  <c r="K12" i="2"/>
  <c r="K13" i="2"/>
  <c r="K14" i="2"/>
  <c r="K15" i="2"/>
  <c r="K16" i="2"/>
  <c r="K17" i="2"/>
  <c r="K25" i="2" s="1"/>
  <c r="K10" i="2"/>
  <c r="K25" i="15"/>
  <c r="K24" i="15"/>
  <c r="K23" i="15"/>
  <c r="K22" i="15"/>
  <c r="K21" i="15"/>
  <c r="K19" i="15"/>
  <c r="K18" i="15"/>
  <c r="K25" i="14"/>
  <c r="K24" i="14"/>
  <c r="K23" i="14"/>
  <c r="K22" i="14"/>
  <c r="K21" i="14"/>
  <c r="K18" i="14"/>
  <c r="K19" i="14"/>
  <c r="K25" i="13"/>
  <c r="K24" i="13"/>
  <c r="K21" i="13"/>
  <c r="K20" i="13"/>
  <c r="K25" i="12"/>
  <c r="K24" i="12"/>
  <c r="K23" i="12"/>
  <c r="K19" i="12"/>
  <c r="K25" i="11"/>
  <c r="K24" i="11"/>
  <c r="K23" i="11"/>
  <c r="K22" i="11"/>
  <c r="K21" i="11"/>
  <c r="K25" i="10"/>
  <c r="K24" i="10"/>
  <c r="K23" i="10"/>
  <c r="K25" i="9"/>
  <c r="K24" i="9"/>
  <c r="K23" i="9"/>
  <c r="K22" i="9"/>
  <c r="K21" i="9"/>
  <c r="K20" i="9"/>
  <c r="K18" i="8"/>
  <c r="K25" i="8"/>
  <c r="K24" i="8"/>
  <c r="K23" i="8"/>
  <c r="K22" i="8"/>
  <c r="K21" i="8"/>
  <c r="K20" i="8"/>
  <c r="K19" i="8"/>
  <c r="K24" i="7"/>
  <c r="K23" i="7"/>
  <c r="K22" i="7"/>
  <c r="K21" i="7"/>
  <c r="K20" i="7"/>
  <c r="K18" i="7"/>
  <c r="K25" i="6"/>
  <c r="K24" i="6"/>
  <c r="K23" i="6"/>
  <c r="K22" i="6"/>
  <c r="K21" i="6"/>
  <c r="K20" i="6"/>
  <c r="K25" i="5"/>
  <c r="K24" i="5"/>
  <c r="K23" i="5"/>
  <c r="K22" i="5"/>
  <c r="K21" i="5"/>
  <c r="O71" i="4"/>
  <c r="N71" i="4"/>
  <c r="N73" i="4" s="1"/>
  <c r="M71" i="4"/>
  <c r="M73" i="4" s="1"/>
  <c r="L71" i="4"/>
  <c r="L73" i="4" s="1"/>
  <c r="K71" i="4"/>
  <c r="K73" i="4" s="1"/>
  <c r="J71" i="4"/>
  <c r="J73" i="4" s="1"/>
  <c r="I71" i="4"/>
  <c r="I73" i="4" s="1"/>
  <c r="H71" i="4"/>
  <c r="H73" i="4" s="1"/>
  <c r="G71" i="4"/>
  <c r="G73" i="4" s="1"/>
  <c r="F71" i="4"/>
  <c r="F73" i="4" s="1"/>
  <c r="E71" i="4"/>
  <c r="E73" i="4" s="1"/>
  <c r="D71" i="4"/>
  <c r="O70" i="4"/>
  <c r="N70" i="4"/>
  <c r="N72" i="4" s="1"/>
  <c r="M70" i="4"/>
  <c r="M72" i="4" s="1"/>
  <c r="L70" i="4"/>
  <c r="L72" i="4" s="1"/>
  <c r="K70" i="4"/>
  <c r="K72" i="4" s="1"/>
  <c r="J70" i="4"/>
  <c r="J72" i="4" s="1"/>
  <c r="I70" i="4"/>
  <c r="I72" i="4" s="1"/>
  <c r="H70" i="4"/>
  <c r="H72" i="4" s="1"/>
  <c r="G70" i="4"/>
  <c r="F70" i="4"/>
  <c r="F72" i="4" s="1"/>
  <c r="E70" i="4"/>
  <c r="E72" i="4" s="1"/>
  <c r="D70" i="4"/>
  <c r="D72" i="4" s="1"/>
  <c r="Q69" i="4"/>
  <c r="P69" i="4"/>
  <c r="Q68" i="4"/>
  <c r="P68" i="4"/>
  <c r="Q67" i="4"/>
  <c r="P67" i="4"/>
  <c r="Q66" i="4"/>
  <c r="P66" i="4"/>
  <c r="K24" i="2"/>
  <c r="K23" i="2"/>
  <c r="K22" i="2"/>
  <c r="K21" i="2"/>
  <c r="K20" i="2"/>
  <c r="K18" i="2"/>
  <c r="K19" i="2"/>
  <c r="O28" i="3" l="1"/>
  <c r="J14" i="16"/>
  <c r="J15" i="16"/>
  <c r="Q70" i="4"/>
  <c r="P71" i="4"/>
  <c r="K19" i="13"/>
  <c r="K19" i="11"/>
  <c r="K19" i="7"/>
  <c r="K19" i="6"/>
  <c r="G72" i="4"/>
  <c r="Q72" i="4" s="1"/>
  <c r="D73" i="4"/>
  <c r="Q73" i="4" s="1"/>
  <c r="Q71" i="4"/>
  <c r="P70" i="4"/>
  <c r="O2" i="3"/>
  <c r="E32" i="3" l="1"/>
  <c r="C16" i="3"/>
  <c r="D16" i="3"/>
  <c r="E16" i="3"/>
  <c r="F16" i="3"/>
  <c r="G16" i="3"/>
  <c r="H16" i="3"/>
  <c r="I16" i="3"/>
  <c r="J16" i="3"/>
  <c r="K16" i="3"/>
  <c r="L16" i="3"/>
  <c r="M16" i="3"/>
  <c r="M10" i="3" l="1"/>
  <c r="D13" i="16" l="1"/>
  <c r="B13" i="16"/>
  <c r="C13" i="16"/>
  <c r="E13" i="16"/>
  <c r="F13" i="16"/>
  <c r="G13" i="16"/>
  <c r="H13" i="16"/>
  <c r="I13" i="16"/>
  <c r="H21" i="14" l="1"/>
  <c r="O15" i="4" l="1"/>
  <c r="N15" i="4"/>
  <c r="N17" i="4" s="1"/>
  <c r="M15" i="4"/>
  <c r="M17" i="4" s="1"/>
  <c r="L15" i="4"/>
  <c r="L17" i="4" s="1"/>
  <c r="K15" i="4"/>
  <c r="K17" i="4" s="1"/>
  <c r="J15" i="4"/>
  <c r="J17" i="4" s="1"/>
  <c r="I15" i="4"/>
  <c r="I17" i="4" s="1"/>
  <c r="H15" i="4"/>
  <c r="H17" i="4" s="1"/>
  <c r="G15" i="4"/>
  <c r="G17" i="4" s="1"/>
  <c r="F15" i="4"/>
  <c r="F17" i="4" s="1"/>
  <c r="E15" i="4"/>
  <c r="E17" i="4" s="1"/>
  <c r="D15" i="4"/>
  <c r="O14" i="4"/>
  <c r="N14" i="4"/>
  <c r="N16" i="4" s="1"/>
  <c r="M14" i="4"/>
  <c r="M16" i="4" s="1"/>
  <c r="L14" i="4"/>
  <c r="L16" i="4" s="1"/>
  <c r="K14" i="4"/>
  <c r="K16" i="4" s="1"/>
  <c r="J14" i="4"/>
  <c r="J16" i="4" s="1"/>
  <c r="I14" i="4"/>
  <c r="I16" i="4" s="1"/>
  <c r="H14" i="4"/>
  <c r="H16" i="4" s="1"/>
  <c r="G14" i="4"/>
  <c r="G16" i="4" s="1"/>
  <c r="F14" i="4"/>
  <c r="F16" i="4" s="1"/>
  <c r="E14" i="4"/>
  <c r="E16" i="4" s="1"/>
  <c r="D14" i="4"/>
  <c r="Q13" i="4"/>
  <c r="P13" i="4"/>
  <c r="Q12" i="4"/>
  <c r="P12" i="4"/>
  <c r="Q11" i="4"/>
  <c r="P11" i="4"/>
  <c r="Q10" i="4"/>
  <c r="P10" i="4"/>
  <c r="Q15" i="4" l="1"/>
  <c r="Q14" i="4"/>
  <c r="D17" i="4"/>
  <c r="Q17" i="4" s="1"/>
  <c r="P15" i="4"/>
  <c r="P14" i="4"/>
  <c r="D16" i="4"/>
  <c r="Q16" i="4" s="1"/>
  <c r="N16" i="3" l="1"/>
  <c r="N10" i="3"/>
  <c r="N25" i="3"/>
  <c r="N22" i="3"/>
  <c r="N19" i="3"/>
  <c r="P2" i="3" l="1"/>
  <c r="P5" i="3"/>
  <c r="P8" i="3"/>
  <c r="P11" i="3"/>
  <c r="P14" i="3"/>
  <c r="P17" i="3"/>
  <c r="P23" i="3"/>
  <c r="I12" i="16" l="1"/>
  <c r="D2" i="16"/>
  <c r="E2" i="16"/>
  <c r="F2" i="16"/>
  <c r="G2" i="16"/>
  <c r="H2" i="16"/>
  <c r="I2" i="16"/>
  <c r="D3" i="16"/>
  <c r="E3" i="16"/>
  <c r="F3" i="16"/>
  <c r="G3" i="16"/>
  <c r="H3" i="16"/>
  <c r="I3" i="16"/>
  <c r="D4" i="16"/>
  <c r="E4" i="16"/>
  <c r="F4" i="16"/>
  <c r="G4" i="16"/>
  <c r="H4" i="16"/>
  <c r="I4" i="16"/>
  <c r="D5" i="16"/>
  <c r="E5" i="16"/>
  <c r="F5" i="16"/>
  <c r="G5" i="16"/>
  <c r="H5" i="16"/>
  <c r="I5" i="16"/>
  <c r="D6" i="16"/>
  <c r="E6" i="16"/>
  <c r="F6" i="16"/>
  <c r="G6" i="16"/>
  <c r="H6" i="16"/>
  <c r="I6" i="16"/>
  <c r="D7" i="16"/>
  <c r="E7" i="16"/>
  <c r="F7" i="16"/>
  <c r="G7" i="16"/>
  <c r="H7" i="16"/>
  <c r="I7" i="16"/>
  <c r="D8" i="16"/>
  <c r="E8" i="16"/>
  <c r="F8" i="16"/>
  <c r="G8" i="16"/>
  <c r="H8" i="16"/>
  <c r="I8" i="16"/>
  <c r="D9" i="16"/>
  <c r="E9" i="16"/>
  <c r="F9" i="16"/>
  <c r="G9" i="16"/>
  <c r="H9" i="16"/>
  <c r="I9" i="16"/>
  <c r="D10" i="16"/>
  <c r="E10" i="16"/>
  <c r="F10" i="16"/>
  <c r="G10" i="16"/>
  <c r="H10" i="16"/>
  <c r="I10" i="16"/>
  <c r="D11" i="16"/>
  <c r="E11" i="16"/>
  <c r="F11" i="16"/>
  <c r="G11" i="16"/>
  <c r="H11" i="16"/>
  <c r="I11" i="16"/>
  <c r="D12" i="16"/>
  <c r="E12" i="16"/>
  <c r="F12" i="16"/>
  <c r="G12" i="16"/>
  <c r="H12" i="16"/>
  <c r="C2" i="16"/>
  <c r="C3" i="16"/>
  <c r="C4" i="16"/>
  <c r="C5" i="16"/>
  <c r="C6" i="16"/>
  <c r="C7" i="16"/>
  <c r="C8" i="16"/>
  <c r="C9" i="16"/>
  <c r="C10" i="16"/>
  <c r="C11" i="16"/>
  <c r="C12" i="16"/>
  <c r="B12" i="16"/>
  <c r="B11" i="16"/>
  <c r="B10" i="16"/>
  <c r="B9" i="16"/>
  <c r="B8" i="16"/>
  <c r="B7" i="16"/>
  <c r="B6" i="16"/>
  <c r="B5" i="16"/>
  <c r="B4" i="16"/>
  <c r="B3" i="16"/>
  <c r="B2" i="16"/>
  <c r="B15" i="16" l="1"/>
  <c r="H15" i="16"/>
  <c r="E15" i="16"/>
  <c r="I15" i="16"/>
  <c r="F15" i="16"/>
  <c r="D15" i="16"/>
  <c r="C15" i="16"/>
  <c r="G15" i="16"/>
  <c r="B14" i="16"/>
  <c r="I14" i="16"/>
  <c r="H14" i="16"/>
  <c r="G14" i="16"/>
  <c r="F14" i="16"/>
  <c r="C14" i="16"/>
  <c r="D14" i="16"/>
  <c r="E14" i="16"/>
  <c r="K54" i="4"/>
  <c r="K56" i="4" s="1"/>
  <c r="K22" i="4"/>
  <c r="K24" i="4" s="1"/>
  <c r="K13" i="3" l="1"/>
  <c r="K10" i="3"/>
  <c r="K7" i="3"/>
  <c r="K4" i="3"/>
  <c r="J62" i="4" l="1"/>
  <c r="J64" i="4" s="1"/>
  <c r="K62" i="4"/>
  <c r="K64" i="4" s="1"/>
  <c r="L62" i="4"/>
  <c r="L64" i="4" s="1"/>
  <c r="M62" i="4"/>
  <c r="M64" i="4" s="1"/>
  <c r="N62" i="4"/>
  <c r="N64" i="4" s="1"/>
  <c r="O62" i="4"/>
  <c r="J63" i="4"/>
  <c r="J65" i="4" s="1"/>
  <c r="K63" i="4"/>
  <c r="K65" i="4" s="1"/>
  <c r="L63" i="4"/>
  <c r="L65" i="4" s="1"/>
  <c r="M63" i="4"/>
  <c r="M65" i="4" s="1"/>
  <c r="N63" i="4"/>
  <c r="N65" i="4" s="1"/>
  <c r="O63" i="4"/>
  <c r="I62" i="4" l="1"/>
  <c r="I64" i="4" s="1"/>
  <c r="I63" i="4"/>
  <c r="I65" i="4" s="1"/>
  <c r="E17" i="10" l="1"/>
  <c r="H6" i="4" l="1"/>
  <c r="H8" i="4" s="1"/>
  <c r="H7" i="4"/>
  <c r="H9" i="4" s="1"/>
  <c r="H22" i="4"/>
  <c r="H24" i="4" s="1"/>
  <c r="H23" i="4"/>
  <c r="H25" i="4" s="1"/>
  <c r="H30" i="4"/>
  <c r="H32" i="4" s="1"/>
  <c r="H31" i="4"/>
  <c r="H33" i="4" s="1"/>
  <c r="H38" i="4"/>
  <c r="H40" i="4" s="1"/>
  <c r="H39" i="4"/>
  <c r="H41" i="4" s="1"/>
  <c r="H46" i="4"/>
  <c r="H48" i="4" s="1"/>
  <c r="H47" i="4"/>
  <c r="H49" i="4" s="1"/>
  <c r="H54" i="4"/>
  <c r="H56" i="4" s="1"/>
  <c r="H55" i="4"/>
  <c r="H57" i="4" s="1"/>
  <c r="H62" i="4"/>
  <c r="H64" i="4" s="1"/>
  <c r="H63" i="4"/>
  <c r="H65" i="4" s="1"/>
  <c r="G62" i="4" l="1"/>
  <c r="G64" i="4" s="1"/>
  <c r="G63" i="4"/>
  <c r="G65" i="4" s="1"/>
  <c r="F10" i="3" l="1"/>
  <c r="D62" i="4" l="1"/>
  <c r="F63" i="4"/>
  <c r="F65" i="4" s="1"/>
  <c r="E63" i="4"/>
  <c r="E65" i="4" s="1"/>
  <c r="D63" i="4"/>
  <c r="F62" i="4"/>
  <c r="F64" i="4" s="1"/>
  <c r="E62" i="4"/>
  <c r="E64" i="4" s="1"/>
  <c r="J17" i="15" l="1"/>
  <c r="J25" i="15" s="1"/>
  <c r="I17" i="15"/>
  <c r="I25" i="15" s="1"/>
  <c r="H17" i="15"/>
  <c r="H25" i="15" s="1"/>
  <c r="G17" i="15"/>
  <c r="G25" i="15" s="1"/>
  <c r="F17" i="15"/>
  <c r="F25" i="15" s="1"/>
  <c r="E17" i="15"/>
  <c r="E25" i="15" s="1"/>
  <c r="D17" i="15"/>
  <c r="D25" i="15" s="1"/>
  <c r="C17" i="15"/>
  <c r="C25" i="15" s="1"/>
  <c r="J16" i="15"/>
  <c r="J24" i="15" s="1"/>
  <c r="I16" i="15"/>
  <c r="I24" i="15" s="1"/>
  <c r="H16" i="15"/>
  <c r="H24" i="15" s="1"/>
  <c r="G16" i="15"/>
  <c r="G24" i="15" s="1"/>
  <c r="F16" i="15"/>
  <c r="F24" i="15" s="1"/>
  <c r="E16" i="15"/>
  <c r="E24" i="15" s="1"/>
  <c r="D16" i="15"/>
  <c r="D24" i="15" s="1"/>
  <c r="C16" i="15"/>
  <c r="C24" i="15" s="1"/>
  <c r="J15" i="15"/>
  <c r="J23" i="15" s="1"/>
  <c r="I15" i="15"/>
  <c r="I23" i="15" s="1"/>
  <c r="H15" i="15"/>
  <c r="H23" i="15" s="1"/>
  <c r="G15" i="15"/>
  <c r="G23" i="15" s="1"/>
  <c r="F15" i="15"/>
  <c r="F23" i="15" s="1"/>
  <c r="E15" i="15"/>
  <c r="E23" i="15" s="1"/>
  <c r="D15" i="15"/>
  <c r="D23" i="15" s="1"/>
  <c r="C15" i="15"/>
  <c r="C23" i="15" s="1"/>
  <c r="J14" i="15"/>
  <c r="J22" i="15" s="1"/>
  <c r="I14" i="15"/>
  <c r="I22" i="15" s="1"/>
  <c r="H14" i="15"/>
  <c r="H22" i="15" s="1"/>
  <c r="G14" i="15"/>
  <c r="G22" i="15" s="1"/>
  <c r="F14" i="15"/>
  <c r="F22" i="15" s="1"/>
  <c r="E14" i="15"/>
  <c r="E22" i="15" s="1"/>
  <c r="D14" i="15"/>
  <c r="D22" i="15" s="1"/>
  <c r="C14" i="15"/>
  <c r="C22" i="15" s="1"/>
  <c r="J13" i="15"/>
  <c r="J21" i="15" s="1"/>
  <c r="I13" i="15"/>
  <c r="I21" i="15" s="1"/>
  <c r="H13" i="15"/>
  <c r="H21" i="15" s="1"/>
  <c r="G13" i="15"/>
  <c r="G21" i="15" s="1"/>
  <c r="F13" i="15"/>
  <c r="F21" i="15" s="1"/>
  <c r="E13" i="15"/>
  <c r="E21" i="15" s="1"/>
  <c r="D13" i="15"/>
  <c r="D21" i="15" s="1"/>
  <c r="C13" i="15"/>
  <c r="C21" i="15" s="1"/>
  <c r="J12" i="15"/>
  <c r="J20" i="15" s="1"/>
  <c r="I20" i="15"/>
  <c r="H12" i="15"/>
  <c r="H20" i="15" s="1"/>
  <c r="G12" i="15"/>
  <c r="G20" i="15" s="1"/>
  <c r="F12" i="15"/>
  <c r="F20" i="15" s="1"/>
  <c r="E12" i="15"/>
  <c r="E20" i="15" s="1"/>
  <c r="D12" i="15"/>
  <c r="D20" i="15" s="1"/>
  <c r="C12" i="15"/>
  <c r="C20" i="15" s="1"/>
  <c r="J11" i="15"/>
  <c r="J19" i="15" s="1"/>
  <c r="I11" i="15"/>
  <c r="I19" i="15" s="1"/>
  <c r="H11" i="15"/>
  <c r="H19" i="15" s="1"/>
  <c r="G11" i="15"/>
  <c r="G19" i="15" s="1"/>
  <c r="F11" i="15"/>
  <c r="F19" i="15" s="1"/>
  <c r="E11" i="15"/>
  <c r="E19" i="15" s="1"/>
  <c r="D11" i="15"/>
  <c r="D19" i="15" s="1"/>
  <c r="C11" i="15"/>
  <c r="C19" i="15" s="1"/>
  <c r="J10" i="15"/>
  <c r="J18" i="15" s="1"/>
  <c r="I10" i="15"/>
  <c r="I18" i="15" s="1"/>
  <c r="H10" i="15"/>
  <c r="H18" i="15" s="1"/>
  <c r="G10" i="15"/>
  <c r="G18" i="15" s="1"/>
  <c r="F10" i="15"/>
  <c r="F18" i="15" s="1"/>
  <c r="E10" i="15"/>
  <c r="E18" i="15" s="1"/>
  <c r="D10" i="15"/>
  <c r="D18" i="15" s="1"/>
  <c r="C10" i="15"/>
  <c r="C18" i="15" s="1"/>
  <c r="J17" i="14"/>
  <c r="J25" i="14" s="1"/>
  <c r="I17" i="14"/>
  <c r="I25" i="14" s="1"/>
  <c r="H17" i="14"/>
  <c r="H25" i="14" s="1"/>
  <c r="G17" i="14"/>
  <c r="G25" i="14" s="1"/>
  <c r="F17" i="14"/>
  <c r="F25" i="14" s="1"/>
  <c r="E17" i="14"/>
  <c r="E25" i="14" s="1"/>
  <c r="D17" i="14"/>
  <c r="D25" i="14" s="1"/>
  <c r="C17" i="14"/>
  <c r="C25" i="14" s="1"/>
  <c r="J16" i="14"/>
  <c r="J24" i="14" s="1"/>
  <c r="I16" i="14"/>
  <c r="I24" i="14" s="1"/>
  <c r="H16" i="14"/>
  <c r="H24" i="14" s="1"/>
  <c r="G16" i="14"/>
  <c r="G24" i="14" s="1"/>
  <c r="F16" i="14"/>
  <c r="F24" i="14" s="1"/>
  <c r="E16" i="14"/>
  <c r="E24" i="14" s="1"/>
  <c r="D16" i="14"/>
  <c r="D24" i="14" s="1"/>
  <c r="C16" i="14"/>
  <c r="C24" i="14" s="1"/>
  <c r="J15" i="14"/>
  <c r="J23" i="14" s="1"/>
  <c r="I15" i="14"/>
  <c r="I23" i="14" s="1"/>
  <c r="H15" i="14"/>
  <c r="H23" i="14" s="1"/>
  <c r="G15" i="14"/>
  <c r="G23" i="14" s="1"/>
  <c r="F15" i="14"/>
  <c r="F23" i="14" s="1"/>
  <c r="E15" i="14"/>
  <c r="E23" i="14" s="1"/>
  <c r="D15" i="14"/>
  <c r="D23" i="14" s="1"/>
  <c r="C15" i="14"/>
  <c r="C23" i="14" s="1"/>
  <c r="J14" i="14"/>
  <c r="J22" i="14" s="1"/>
  <c r="I14" i="14"/>
  <c r="I22" i="14" s="1"/>
  <c r="H14" i="14"/>
  <c r="H22" i="14" s="1"/>
  <c r="G14" i="14"/>
  <c r="G22" i="14" s="1"/>
  <c r="F14" i="14"/>
  <c r="F22" i="14" s="1"/>
  <c r="E14" i="14"/>
  <c r="E22" i="14" s="1"/>
  <c r="D14" i="14"/>
  <c r="D22" i="14" s="1"/>
  <c r="C14" i="14"/>
  <c r="C22" i="14" s="1"/>
  <c r="J13" i="14"/>
  <c r="J21" i="14" s="1"/>
  <c r="I13" i="14"/>
  <c r="I21" i="14" s="1"/>
  <c r="H13" i="14"/>
  <c r="G13" i="14"/>
  <c r="G21" i="14" s="1"/>
  <c r="F13" i="14"/>
  <c r="F21" i="14" s="1"/>
  <c r="E13" i="14"/>
  <c r="E21" i="14" s="1"/>
  <c r="D13" i="14"/>
  <c r="D21" i="14" s="1"/>
  <c r="C13" i="14"/>
  <c r="C21" i="14" s="1"/>
  <c r="J12" i="14"/>
  <c r="J20" i="14" s="1"/>
  <c r="I12" i="14"/>
  <c r="I20" i="14" s="1"/>
  <c r="H12" i="14"/>
  <c r="H20" i="14" s="1"/>
  <c r="G12" i="14"/>
  <c r="G20" i="14" s="1"/>
  <c r="F12" i="14"/>
  <c r="F20" i="14" s="1"/>
  <c r="E12" i="14"/>
  <c r="E20" i="14" s="1"/>
  <c r="D12" i="14"/>
  <c r="D20" i="14" s="1"/>
  <c r="C12" i="14"/>
  <c r="C20" i="14" s="1"/>
  <c r="J11" i="14"/>
  <c r="J19" i="14" s="1"/>
  <c r="I11" i="14"/>
  <c r="I19" i="14" s="1"/>
  <c r="H11" i="14"/>
  <c r="H19" i="14" s="1"/>
  <c r="G11" i="14"/>
  <c r="G19" i="14" s="1"/>
  <c r="F11" i="14"/>
  <c r="F19" i="14" s="1"/>
  <c r="E11" i="14"/>
  <c r="E19" i="14" s="1"/>
  <c r="D11" i="14"/>
  <c r="D19" i="14" s="1"/>
  <c r="C11" i="14"/>
  <c r="C19" i="14" s="1"/>
  <c r="J10" i="14"/>
  <c r="J18" i="14" s="1"/>
  <c r="I10" i="14"/>
  <c r="I18" i="14" s="1"/>
  <c r="H10" i="14"/>
  <c r="H18" i="14" s="1"/>
  <c r="G10" i="14"/>
  <c r="G18" i="14" s="1"/>
  <c r="F10" i="14"/>
  <c r="F18" i="14" s="1"/>
  <c r="E10" i="14"/>
  <c r="E18" i="14" s="1"/>
  <c r="D10" i="14"/>
  <c r="D18" i="14" s="1"/>
  <c r="C10" i="14"/>
  <c r="C18" i="14" s="1"/>
  <c r="J17" i="13"/>
  <c r="J25" i="13" s="1"/>
  <c r="I17" i="13"/>
  <c r="I25" i="13" s="1"/>
  <c r="H17" i="13"/>
  <c r="H25" i="13" s="1"/>
  <c r="G17" i="13"/>
  <c r="G25" i="13" s="1"/>
  <c r="F17" i="13"/>
  <c r="F25" i="13" s="1"/>
  <c r="E17" i="13"/>
  <c r="E25" i="13" s="1"/>
  <c r="D17" i="13"/>
  <c r="D25" i="13" s="1"/>
  <c r="C17" i="13"/>
  <c r="C25" i="13" s="1"/>
  <c r="J16" i="13"/>
  <c r="J24" i="13" s="1"/>
  <c r="I16" i="13"/>
  <c r="I24" i="13" s="1"/>
  <c r="H16" i="13"/>
  <c r="H24" i="13" s="1"/>
  <c r="G16" i="13"/>
  <c r="G24" i="13" s="1"/>
  <c r="F16" i="13"/>
  <c r="F24" i="13" s="1"/>
  <c r="E16" i="13"/>
  <c r="E24" i="13" s="1"/>
  <c r="D16" i="13"/>
  <c r="D24" i="13" s="1"/>
  <c r="C16" i="13"/>
  <c r="C24" i="13" s="1"/>
  <c r="J15" i="13"/>
  <c r="J23" i="13" s="1"/>
  <c r="I15" i="13"/>
  <c r="I23" i="13" s="1"/>
  <c r="H15" i="13"/>
  <c r="H23" i="13" s="1"/>
  <c r="G15" i="13"/>
  <c r="G23" i="13" s="1"/>
  <c r="F15" i="13"/>
  <c r="F23" i="13" s="1"/>
  <c r="E15" i="13"/>
  <c r="E23" i="13" s="1"/>
  <c r="D15" i="13"/>
  <c r="D23" i="13" s="1"/>
  <c r="C15" i="13"/>
  <c r="C23" i="13" s="1"/>
  <c r="J14" i="13"/>
  <c r="J22" i="13" s="1"/>
  <c r="I14" i="13"/>
  <c r="I22" i="13" s="1"/>
  <c r="H14" i="13"/>
  <c r="H22" i="13" s="1"/>
  <c r="G14" i="13"/>
  <c r="G22" i="13" s="1"/>
  <c r="F14" i="13"/>
  <c r="F22" i="13" s="1"/>
  <c r="E14" i="13"/>
  <c r="E22" i="13" s="1"/>
  <c r="D14" i="13"/>
  <c r="D22" i="13" s="1"/>
  <c r="C14" i="13"/>
  <c r="C22" i="13" s="1"/>
  <c r="J13" i="13"/>
  <c r="J21" i="13" s="1"/>
  <c r="I13" i="13"/>
  <c r="I21" i="13" s="1"/>
  <c r="H13" i="13"/>
  <c r="H21" i="13" s="1"/>
  <c r="G13" i="13"/>
  <c r="G21" i="13" s="1"/>
  <c r="F13" i="13"/>
  <c r="F21" i="13" s="1"/>
  <c r="E13" i="13"/>
  <c r="E21" i="13" s="1"/>
  <c r="D13" i="13"/>
  <c r="D21" i="13" s="1"/>
  <c r="C13" i="13"/>
  <c r="C21" i="13" s="1"/>
  <c r="J12" i="13"/>
  <c r="J20" i="13" s="1"/>
  <c r="I12" i="13"/>
  <c r="I20" i="13" s="1"/>
  <c r="H12" i="13"/>
  <c r="H20" i="13" s="1"/>
  <c r="G12" i="13"/>
  <c r="G20" i="13" s="1"/>
  <c r="F12" i="13"/>
  <c r="F20" i="13" s="1"/>
  <c r="E12" i="13"/>
  <c r="E20" i="13" s="1"/>
  <c r="D12" i="13"/>
  <c r="D20" i="13" s="1"/>
  <c r="C12" i="13"/>
  <c r="C20" i="13" s="1"/>
  <c r="J11" i="13"/>
  <c r="J19" i="13" s="1"/>
  <c r="I11" i="13"/>
  <c r="I19" i="13" s="1"/>
  <c r="H11" i="13"/>
  <c r="H19" i="13" s="1"/>
  <c r="G11" i="13"/>
  <c r="G19" i="13" s="1"/>
  <c r="F11" i="13"/>
  <c r="F19" i="13" s="1"/>
  <c r="E11" i="13"/>
  <c r="E19" i="13" s="1"/>
  <c r="D11" i="13"/>
  <c r="D19" i="13" s="1"/>
  <c r="C11" i="13"/>
  <c r="C19" i="13" s="1"/>
  <c r="J10" i="13"/>
  <c r="J18" i="13" s="1"/>
  <c r="I10" i="13"/>
  <c r="I18" i="13" s="1"/>
  <c r="H10" i="13"/>
  <c r="H18" i="13" s="1"/>
  <c r="G10" i="13"/>
  <c r="G18" i="13" s="1"/>
  <c r="F10" i="13"/>
  <c r="F18" i="13" s="1"/>
  <c r="E10" i="13"/>
  <c r="E18" i="13" s="1"/>
  <c r="D10" i="13"/>
  <c r="D18" i="13" s="1"/>
  <c r="C10" i="13"/>
  <c r="C18" i="13" s="1"/>
  <c r="J17" i="12"/>
  <c r="J25" i="12" s="1"/>
  <c r="I17" i="12"/>
  <c r="I25" i="12" s="1"/>
  <c r="H17" i="12"/>
  <c r="H25" i="12" s="1"/>
  <c r="G17" i="12"/>
  <c r="G25" i="12" s="1"/>
  <c r="F17" i="12"/>
  <c r="F25" i="12" s="1"/>
  <c r="E17" i="12"/>
  <c r="E25" i="12" s="1"/>
  <c r="D17" i="12"/>
  <c r="D25" i="12" s="1"/>
  <c r="C17" i="12"/>
  <c r="C25" i="12" s="1"/>
  <c r="J16" i="12"/>
  <c r="J24" i="12" s="1"/>
  <c r="I16" i="12"/>
  <c r="I24" i="12" s="1"/>
  <c r="H16" i="12"/>
  <c r="H24" i="12" s="1"/>
  <c r="G16" i="12"/>
  <c r="G24" i="12" s="1"/>
  <c r="F16" i="12"/>
  <c r="F24" i="12" s="1"/>
  <c r="E16" i="12"/>
  <c r="E24" i="12" s="1"/>
  <c r="D16" i="12"/>
  <c r="D24" i="12" s="1"/>
  <c r="C16" i="12"/>
  <c r="C24" i="12" s="1"/>
  <c r="J15" i="12"/>
  <c r="J23" i="12" s="1"/>
  <c r="I15" i="12"/>
  <c r="I23" i="12" s="1"/>
  <c r="H15" i="12"/>
  <c r="H23" i="12" s="1"/>
  <c r="G15" i="12"/>
  <c r="G23" i="12" s="1"/>
  <c r="F15" i="12"/>
  <c r="F23" i="12" s="1"/>
  <c r="E15" i="12"/>
  <c r="E23" i="12" s="1"/>
  <c r="D15" i="12"/>
  <c r="D23" i="12" s="1"/>
  <c r="C15" i="12"/>
  <c r="C23" i="12" s="1"/>
  <c r="J14" i="12"/>
  <c r="J22" i="12" s="1"/>
  <c r="I14" i="12"/>
  <c r="I22" i="12" s="1"/>
  <c r="H14" i="12"/>
  <c r="H22" i="12" s="1"/>
  <c r="G14" i="12"/>
  <c r="G22" i="12" s="1"/>
  <c r="F14" i="12"/>
  <c r="F22" i="12" s="1"/>
  <c r="E14" i="12"/>
  <c r="E22" i="12" s="1"/>
  <c r="D14" i="12"/>
  <c r="D22" i="12" s="1"/>
  <c r="C14" i="12"/>
  <c r="C22" i="12" s="1"/>
  <c r="J13" i="12"/>
  <c r="J21" i="12" s="1"/>
  <c r="I13" i="12"/>
  <c r="I21" i="12" s="1"/>
  <c r="H13" i="12"/>
  <c r="H21" i="12" s="1"/>
  <c r="G13" i="12"/>
  <c r="G21" i="12" s="1"/>
  <c r="F13" i="12"/>
  <c r="F21" i="12" s="1"/>
  <c r="E13" i="12"/>
  <c r="E21" i="12" s="1"/>
  <c r="D13" i="12"/>
  <c r="D21" i="12" s="1"/>
  <c r="C13" i="12"/>
  <c r="C21" i="12" s="1"/>
  <c r="J12" i="12"/>
  <c r="J20" i="12" s="1"/>
  <c r="I12" i="12"/>
  <c r="I20" i="12" s="1"/>
  <c r="H12" i="12"/>
  <c r="H20" i="12" s="1"/>
  <c r="G12" i="12"/>
  <c r="G20" i="12" s="1"/>
  <c r="F12" i="12"/>
  <c r="F20" i="12" s="1"/>
  <c r="E12" i="12"/>
  <c r="E20" i="12" s="1"/>
  <c r="D12" i="12"/>
  <c r="D20" i="12" s="1"/>
  <c r="C12" i="12"/>
  <c r="C20" i="12" s="1"/>
  <c r="J11" i="12"/>
  <c r="J19" i="12" s="1"/>
  <c r="I11" i="12"/>
  <c r="I19" i="12" s="1"/>
  <c r="H11" i="12"/>
  <c r="H19" i="12" s="1"/>
  <c r="G11" i="12"/>
  <c r="G19" i="12" s="1"/>
  <c r="F11" i="12"/>
  <c r="F19" i="12" s="1"/>
  <c r="E11" i="12"/>
  <c r="E19" i="12" s="1"/>
  <c r="D11" i="12"/>
  <c r="D19" i="12" s="1"/>
  <c r="C11" i="12"/>
  <c r="C19" i="12" s="1"/>
  <c r="J10" i="12"/>
  <c r="J18" i="12" s="1"/>
  <c r="I10" i="12"/>
  <c r="I18" i="12" s="1"/>
  <c r="H10" i="12"/>
  <c r="H18" i="12" s="1"/>
  <c r="G10" i="12"/>
  <c r="G18" i="12" s="1"/>
  <c r="F10" i="12"/>
  <c r="F18" i="12" s="1"/>
  <c r="E10" i="12"/>
  <c r="E18" i="12" s="1"/>
  <c r="D10" i="12"/>
  <c r="D18" i="12" s="1"/>
  <c r="C10" i="12"/>
  <c r="C18" i="12" s="1"/>
  <c r="J17" i="11"/>
  <c r="J25" i="11" s="1"/>
  <c r="I17" i="11"/>
  <c r="I25" i="11" s="1"/>
  <c r="H17" i="11"/>
  <c r="H25" i="11" s="1"/>
  <c r="G17" i="11"/>
  <c r="G25" i="11" s="1"/>
  <c r="F17" i="11"/>
  <c r="F25" i="11" s="1"/>
  <c r="E17" i="11"/>
  <c r="E25" i="11" s="1"/>
  <c r="D17" i="11"/>
  <c r="D25" i="11" s="1"/>
  <c r="C17" i="11"/>
  <c r="C25" i="11" s="1"/>
  <c r="J16" i="11"/>
  <c r="J24" i="11" s="1"/>
  <c r="I16" i="11"/>
  <c r="I24" i="11" s="1"/>
  <c r="H16" i="11"/>
  <c r="H24" i="11" s="1"/>
  <c r="G16" i="11"/>
  <c r="G24" i="11" s="1"/>
  <c r="F16" i="11"/>
  <c r="F24" i="11" s="1"/>
  <c r="E16" i="11"/>
  <c r="E24" i="11" s="1"/>
  <c r="D16" i="11"/>
  <c r="D24" i="11" s="1"/>
  <c r="C16" i="11"/>
  <c r="C24" i="11" s="1"/>
  <c r="J15" i="11"/>
  <c r="J23" i="11" s="1"/>
  <c r="I15" i="11"/>
  <c r="I23" i="11" s="1"/>
  <c r="H15" i="11"/>
  <c r="H23" i="11" s="1"/>
  <c r="G15" i="11"/>
  <c r="G23" i="11" s="1"/>
  <c r="F15" i="11"/>
  <c r="F23" i="11" s="1"/>
  <c r="E15" i="11"/>
  <c r="E23" i="11" s="1"/>
  <c r="D15" i="11"/>
  <c r="D23" i="11" s="1"/>
  <c r="C15" i="11"/>
  <c r="C23" i="11" s="1"/>
  <c r="J14" i="11"/>
  <c r="J22" i="11" s="1"/>
  <c r="I14" i="11"/>
  <c r="I22" i="11" s="1"/>
  <c r="H14" i="11"/>
  <c r="H22" i="11" s="1"/>
  <c r="G14" i="11"/>
  <c r="G22" i="11" s="1"/>
  <c r="F14" i="11"/>
  <c r="F22" i="11" s="1"/>
  <c r="E14" i="11"/>
  <c r="E22" i="11" s="1"/>
  <c r="D14" i="11"/>
  <c r="D22" i="11" s="1"/>
  <c r="C14" i="11"/>
  <c r="C22" i="11" s="1"/>
  <c r="J13" i="11"/>
  <c r="J21" i="11" s="1"/>
  <c r="I13" i="11"/>
  <c r="I21" i="11" s="1"/>
  <c r="H13" i="11"/>
  <c r="H21" i="11" s="1"/>
  <c r="G13" i="11"/>
  <c r="G21" i="11" s="1"/>
  <c r="F13" i="11"/>
  <c r="F21" i="11" s="1"/>
  <c r="E13" i="11"/>
  <c r="E21" i="11" s="1"/>
  <c r="D13" i="11"/>
  <c r="D21" i="11" s="1"/>
  <c r="C13" i="11"/>
  <c r="C21" i="11" s="1"/>
  <c r="J12" i="11"/>
  <c r="J20" i="11" s="1"/>
  <c r="I12" i="11"/>
  <c r="I20" i="11" s="1"/>
  <c r="H12" i="11"/>
  <c r="H20" i="11" s="1"/>
  <c r="G12" i="11"/>
  <c r="G20" i="11" s="1"/>
  <c r="F12" i="11"/>
  <c r="F20" i="11" s="1"/>
  <c r="E12" i="11"/>
  <c r="E20" i="11" s="1"/>
  <c r="D12" i="11"/>
  <c r="D20" i="11" s="1"/>
  <c r="C12" i="11"/>
  <c r="C20" i="11" s="1"/>
  <c r="J11" i="11"/>
  <c r="J19" i="11" s="1"/>
  <c r="I11" i="11"/>
  <c r="I19" i="11" s="1"/>
  <c r="H11" i="11"/>
  <c r="H19" i="11" s="1"/>
  <c r="G11" i="11"/>
  <c r="G19" i="11" s="1"/>
  <c r="F11" i="11"/>
  <c r="F19" i="11" s="1"/>
  <c r="E11" i="11"/>
  <c r="E19" i="11" s="1"/>
  <c r="D11" i="11"/>
  <c r="D19" i="11" s="1"/>
  <c r="C11" i="11"/>
  <c r="C19" i="11" s="1"/>
  <c r="J10" i="11"/>
  <c r="J18" i="11" s="1"/>
  <c r="I10" i="11"/>
  <c r="I18" i="11" s="1"/>
  <c r="H10" i="11"/>
  <c r="H18" i="11" s="1"/>
  <c r="G10" i="11"/>
  <c r="G18" i="11" s="1"/>
  <c r="F10" i="11"/>
  <c r="F18" i="11" s="1"/>
  <c r="E10" i="11"/>
  <c r="E18" i="11" s="1"/>
  <c r="D10" i="11"/>
  <c r="D18" i="11" s="1"/>
  <c r="C10" i="11"/>
  <c r="C18" i="11" s="1"/>
  <c r="J17" i="10"/>
  <c r="J25" i="10" s="1"/>
  <c r="I17" i="10"/>
  <c r="I25" i="10" s="1"/>
  <c r="H17" i="10"/>
  <c r="H25" i="10" s="1"/>
  <c r="G17" i="10"/>
  <c r="G25" i="10" s="1"/>
  <c r="F17" i="10"/>
  <c r="F25" i="10" s="1"/>
  <c r="E25" i="10"/>
  <c r="D17" i="10"/>
  <c r="D25" i="10" s="1"/>
  <c r="C17" i="10"/>
  <c r="C25" i="10" s="1"/>
  <c r="J16" i="10"/>
  <c r="J24" i="10" s="1"/>
  <c r="I16" i="10"/>
  <c r="I24" i="10" s="1"/>
  <c r="H16" i="10"/>
  <c r="H24" i="10" s="1"/>
  <c r="G16" i="10"/>
  <c r="G24" i="10" s="1"/>
  <c r="F16" i="10"/>
  <c r="F24" i="10" s="1"/>
  <c r="E16" i="10"/>
  <c r="E24" i="10" s="1"/>
  <c r="D16" i="10"/>
  <c r="D24" i="10" s="1"/>
  <c r="C16" i="10"/>
  <c r="C24" i="10" s="1"/>
  <c r="J15" i="10"/>
  <c r="J23" i="10" s="1"/>
  <c r="I15" i="10"/>
  <c r="I23" i="10" s="1"/>
  <c r="H15" i="10"/>
  <c r="H23" i="10" s="1"/>
  <c r="G15" i="10"/>
  <c r="G23" i="10" s="1"/>
  <c r="F15" i="10"/>
  <c r="F23" i="10" s="1"/>
  <c r="E15" i="10"/>
  <c r="E23" i="10" s="1"/>
  <c r="D15" i="10"/>
  <c r="D23" i="10" s="1"/>
  <c r="C15" i="10"/>
  <c r="C23" i="10" s="1"/>
  <c r="J14" i="10"/>
  <c r="J22" i="10" s="1"/>
  <c r="I14" i="10"/>
  <c r="I22" i="10" s="1"/>
  <c r="H14" i="10"/>
  <c r="H22" i="10" s="1"/>
  <c r="G14" i="10"/>
  <c r="G22" i="10" s="1"/>
  <c r="F14" i="10"/>
  <c r="F22" i="10" s="1"/>
  <c r="E14" i="10"/>
  <c r="E22" i="10" s="1"/>
  <c r="D14" i="10"/>
  <c r="D22" i="10" s="1"/>
  <c r="C14" i="10"/>
  <c r="C22" i="10" s="1"/>
  <c r="J13" i="10"/>
  <c r="J21" i="10" s="1"/>
  <c r="I13" i="10"/>
  <c r="I21" i="10" s="1"/>
  <c r="H13" i="10"/>
  <c r="H21" i="10" s="1"/>
  <c r="G13" i="10"/>
  <c r="G21" i="10" s="1"/>
  <c r="F13" i="10"/>
  <c r="F21" i="10" s="1"/>
  <c r="E13" i="10"/>
  <c r="E21" i="10" s="1"/>
  <c r="D13" i="10"/>
  <c r="D21" i="10" s="1"/>
  <c r="C13" i="10"/>
  <c r="C21" i="10" s="1"/>
  <c r="J12" i="10"/>
  <c r="J20" i="10" s="1"/>
  <c r="I12" i="10"/>
  <c r="I20" i="10" s="1"/>
  <c r="H12" i="10"/>
  <c r="H20" i="10" s="1"/>
  <c r="G12" i="10"/>
  <c r="G20" i="10" s="1"/>
  <c r="F12" i="10"/>
  <c r="F20" i="10" s="1"/>
  <c r="E12" i="10"/>
  <c r="E20" i="10" s="1"/>
  <c r="D12" i="10"/>
  <c r="D20" i="10" s="1"/>
  <c r="C12" i="10"/>
  <c r="C20" i="10" s="1"/>
  <c r="J11" i="10"/>
  <c r="J19" i="10" s="1"/>
  <c r="I11" i="10"/>
  <c r="I19" i="10" s="1"/>
  <c r="H11" i="10"/>
  <c r="H19" i="10" s="1"/>
  <c r="G11" i="10"/>
  <c r="G19" i="10" s="1"/>
  <c r="F11" i="10"/>
  <c r="F19" i="10" s="1"/>
  <c r="E11" i="10"/>
  <c r="E19" i="10" s="1"/>
  <c r="D11" i="10"/>
  <c r="D19" i="10" s="1"/>
  <c r="C11" i="10"/>
  <c r="C19" i="10" s="1"/>
  <c r="J10" i="10"/>
  <c r="J18" i="10" s="1"/>
  <c r="I10" i="10"/>
  <c r="I18" i="10" s="1"/>
  <c r="H10" i="10"/>
  <c r="H18" i="10" s="1"/>
  <c r="G10" i="10"/>
  <c r="G18" i="10" s="1"/>
  <c r="F10" i="10"/>
  <c r="F18" i="10" s="1"/>
  <c r="E10" i="10"/>
  <c r="E18" i="10" s="1"/>
  <c r="D10" i="10"/>
  <c r="D18" i="10" s="1"/>
  <c r="C10" i="10"/>
  <c r="C18" i="10" s="1"/>
  <c r="J17" i="9"/>
  <c r="J25" i="9" s="1"/>
  <c r="I17" i="9"/>
  <c r="I25" i="9" s="1"/>
  <c r="H17" i="9"/>
  <c r="H25" i="9" s="1"/>
  <c r="G17" i="9"/>
  <c r="G25" i="9" s="1"/>
  <c r="F17" i="9"/>
  <c r="F25" i="9" s="1"/>
  <c r="E17" i="9"/>
  <c r="E25" i="9" s="1"/>
  <c r="D17" i="9"/>
  <c r="D25" i="9" s="1"/>
  <c r="C17" i="9"/>
  <c r="C25" i="9" s="1"/>
  <c r="J16" i="9"/>
  <c r="J24" i="9" s="1"/>
  <c r="I16" i="9"/>
  <c r="I24" i="9" s="1"/>
  <c r="H16" i="9"/>
  <c r="H24" i="9" s="1"/>
  <c r="G16" i="9"/>
  <c r="G24" i="9" s="1"/>
  <c r="F16" i="9"/>
  <c r="F24" i="9" s="1"/>
  <c r="E16" i="9"/>
  <c r="E24" i="9" s="1"/>
  <c r="D16" i="9"/>
  <c r="D24" i="9" s="1"/>
  <c r="C16" i="9"/>
  <c r="C24" i="9" s="1"/>
  <c r="J15" i="9"/>
  <c r="J23" i="9" s="1"/>
  <c r="I15" i="9"/>
  <c r="I23" i="9" s="1"/>
  <c r="H15" i="9"/>
  <c r="H23" i="9" s="1"/>
  <c r="G15" i="9"/>
  <c r="G23" i="9" s="1"/>
  <c r="F15" i="9"/>
  <c r="F23" i="9" s="1"/>
  <c r="E15" i="9"/>
  <c r="E23" i="9" s="1"/>
  <c r="D15" i="9"/>
  <c r="D23" i="9" s="1"/>
  <c r="C15" i="9"/>
  <c r="C23" i="9" s="1"/>
  <c r="J14" i="9"/>
  <c r="J22" i="9" s="1"/>
  <c r="I14" i="9"/>
  <c r="I22" i="9" s="1"/>
  <c r="H14" i="9"/>
  <c r="H22" i="9" s="1"/>
  <c r="G14" i="9"/>
  <c r="G22" i="9" s="1"/>
  <c r="F14" i="9"/>
  <c r="F22" i="9" s="1"/>
  <c r="E14" i="9"/>
  <c r="E22" i="9" s="1"/>
  <c r="D14" i="9"/>
  <c r="D22" i="9" s="1"/>
  <c r="C14" i="9"/>
  <c r="C22" i="9" s="1"/>
  <c r="J13" i="9"/>
  <c r="J21" i="9" s="1"/>
  <c r="I13" i="9"/>
  <c r="I21" i="9" s="1"/>
  <c r="H13" i="9"/>
  <c r="H21" i="9" s="1"/>
  <c r="G13" i="9"/>
  <c r="G21" i="9" s="1"/>
  <c r="F13" i="9"/>
  <c r="F21" i="9" s="1"/>
  <c r="E13" i="9"/>
  <c r="E21" i="9" s="1"/>
  <c r="D13" i="9"/>
  <c r="D21" i="9" s="1"/>
  <c r="C13" i="9"/>
  <c r="C21" i="9" s="1"/>
  <c r="J12" i="9"/>
  <c r="J20" i="9" s="1"/>
  <c r="I12" i="9"/>
  <c r="I20" i="9" s="1"/>
  <c r="H12" i="9"/>
  <c r="H20" i="9" s="1"/>
  <c r="G12" i="9"/>
  <c r="G20" i="9" s="1"/>
  <c r="F12" i="9"/>
  <c r="F20" i="9" s="1"/>
  <c r="E12" i="9"/>
  <c r="E20" i="9" s="1"/>
  <c r="D12" i="9"/>
  <c r="D20" i="9" s="1"/>
  <c r="C12" i="9"/>
  <c r="C20" i="9" s="1"/>
  <c r="J11" i="9"/>
  <c r="J19" i="9" s="1"/>
  <c r="I11" i="9"/>
  <c r="I19" i="9" s="1"/>
  <c r="H11" i="9"/>
  <c r="H19" i="9" s="1"/>
  <c r="G11" i="9"/>
  <c r="G19" i="9" s="1"/>
  <c r="F11" i="9"/>
  <c r="F19" i="9" s="1"/>
  <c r="E11" i="9"/>
  <c r="E19" i="9" s="1"/>
  <c r="D11" i="9"/>
  <c r="D19" i="9" s="1"/>
  <c r="C11" i="9"/>
  <c r="C19" i="9" s="1"/>
  <c r="J10" i="9"/>
  <c r="J18" i="9" s="1"/>
  <c r="I10" i="9"/>
  <c r="I18" i="9" s="1"/>
  <c r="H10" i="9"/>
  <c r="H18" i="9" s="1"/>
  <c r="G10" i="9"/>
  <c r="G18" i="9" s="1"/>
  <c r="F10" i="9"/>
  <c r="F18" i="9" s="1"/>
  <c r="E10" i="9"/>
  <c r="E18" i="9" s="1"/>
  <c r="D10" i="9"/>
  <c r="D18" i="9" s="1"/>
  <c r="C10" i="9"/>
  <c r="C18" i="9" s="1"/>
  <c r="J17" i="8"/>
  <c r="J25" i="8" s="1"/>
  <c r="I17" i="8"/>
  <c r="I25" i="8" s="1"/>
  <c r="H17" i="8"/>
  <c r="H25" i="8" s="1"/>
  <c r="G17" i="8"/>
  <c r="G25" i="8" s="1"/>
  <c r="F17" i="8"/>
  <c r="F25" i="8" s="1"/>
  <c r="E17" i="8"/>
  <c r="E25" i="8" s="1"/>
  <c r="D17" i="8"/>
  <c r="D25" i="8" s="1"/>
  <c r="C17" i="8"/>
  <c r="C25" i="8" s="1"/>
  <c r="J16" i="8"/>
  <c r="J24" i="8" s="1"/>
  <c r="I16" i="8"/>
  <c r="I24" i="8" s="1"/>
  <c r="H16" i="8"/>
  <c r="H24" i="8" s="1"/>
  <c r="G16" i="8"/>
  <c r="G24" i="8" s="1"/>
  <c r="F16" i="8"/>
  <c r="F24" i="8" s="1"/>
  <c r="E16" i="8"/>
  <c r="E24" i="8" s="1"/>
  <c r="D16" i="8"/>
  <c r="D24" i="8" s="1"/>
  <c r="C16" i="8"/>
  <c r="C24" i="8" s="1"/>
  <c r="J15" i="8"/>
  <c r="J23" i="8" s="1"/>
  <c r="I15" i="8"/>
  <c r="I23" i="8" s="1"/>
  <c r="H15" i="8"/>
  <c r="H23" i="8" s="1"/>
  <c r="G15" i="8"/>
  <c r="G23" i="8" s="1"/>
  <c r="F15" i="8"/>
  <c r="F23" i="8" s="1"/>
  <c r="E15" i="8"/>
  <c r="E23" i="8" s="1"/>
  <c r="D15" i="8"/>
  <c r="D23" i="8" s="1"/>
  <c r="C15" i="8"/>
  <c r="C23" i="8" s="1"/>
  <c r="J14" i="8"/>
  <c r="J22" i="8" s="1"/>
  <c r="I14" i="8"/>
  <c r="I22" i="8" s="1"/>
  <c r="H14" i="8"/>
  <c r="H22" i="8" s="1"/>
  <c r="G14" i="8"/>
  <c r="G22" i="8" s="1"/>
  <c r="F14" i="8"/>
  <c r="F22" i="8" s="1"/>
  <c r="E14" i="8"/>
  <c r="E22" i="8" s="1"/>
  <c r="D14" i="8"/>
  <c r="D22" i="8" s="1"/>
  <c r="C14" i="8"/>
  <c r="C22" i="8" s="1"/>
  <c r="J13" i="8"/>
  <c r="J21" i="8" s="1"/>
  <c r="I13" i="8"/>
  <c r="I21" i="8" s="1"/>
  <c r="H13" i="8"/>
  <c r="H21" i="8" s="1"/>
  <c r="G13" i="8"/>
  <c r="G21" i="8" s="1"/>
  <c r="F13" i="8"/>
  <c r="F21" i="8" s="1"/>
  <c r="E13" i="8"/>
  <c r="E21" i="8" s="1"/>
  <c r="D13" i="8"/>
  <c r="D21" i="8" s="1"/>
  <c r="C13" i="8"/>
  <c r="C21" i="8" s="1"/>
  <c r="J12" i="8"/>
  <c r="J20" i="8" s="1"/>
  <c r="I12" i="8"/>
  <c r="I20" i="8" s="1"/>
  <c r="H12" i="8"/>
  <c r="H20" i="8" s="1"/>
  <c r="G12" i="8"/>
  <c r="G20" i="8" s="1"/>
  <c r="F12" i="8"/>
  <c r="F20" i="8" s="1"/>
  <c r="E12" i="8"/>
  <c r="E20" i="8" s="1"/>
  <c r="D12" i="8"/>
  <c r="D20" i="8" s="1"/>
  <c r="C12" i="8"/>
  <c r="C20" i="8" s="1"/>
  <c r="J11" i="8"/>
  <c r="J19" i="8" s="1"/>
  <c r="I11" i="8"/>
  <c r="I19" i="8" s="1"/>
  <c r="H11" i="8"/>
  <c r="H19" i="8" s="1"/>
  <c r="G11" i="8"/>
  <c r="G19" i="8" s="1"/>
  <c r="F11" i="8"/>
  <c r="F19" i="8" s="1"/>
  <c r="E11" i="8"/>
  <c r="E19" i="8" s="1"/>
  <c r="D11" i="8"/>
  <c r="D19" i="8" s="1"/>
  <c r="C11" i="8"/>
  <c r="C19" i="8" s="1"/>
  <c r="J10" i="8"/>
  <c r="J18" i="8" s="1"/>
  <c r="I10" i="8"/>
  <c r="I18" i="8" s="1"/>
  <c r="H10" i="8"/>
  <c r="H18" i="8" s="1"/>
  <c r="G10" i="8"/>
  <c r="G18" i="8" s="1"/>
  <c r="F10" i="8"/>
  <c r="F18" i="8" s="1"/>
  <c r="E10" i="8"/>
  <c r="E18" i="8" s="1"/>
  <c r="D10" i="8"/>
  <c r="D18" i="8" s="1"/>
  <c r="C10" i="8"/>
  <c r="C18" i="8" s="1"/>
  <c r="J17" i="7"/>
  <c r="J25" i="7" s="1"/>
  <c r="I17" i="7"/>
  <c r="I25" i="7" s="1"/>
  <c r="H17" i="7"/>
  <c r="H25" i="7" s="1"/>
  <c r="G17" i="7"/>
  <c r="G25" i="7" s="1"/>
  <c r="F17" i="7"/>
  <c r="F25" i="7" s="1"/>
  <c r="E17" i="7"/>
  <c r="E25" i="7" s="1"/>
  <c r="D17" i="7"/>
  <c r="D25" i="7" s="1"/>
  <c r="C17" i="7"/>
  <c r="C25" i="7" s="1"/>
  <c r="J16" i="7"/>
  <c r="J24" i="7" s="1"/>
  <c r="I16" i="7"/>
  <c r="I24" i="7" s="1"/>
  <c r="H16" i="7"/>
  <c r="H24" i="7" s="1"/>
  <c r="G16" i="7"/>
  <c r="G24" i="7" s="1"/>
  <c r="F16" i="7"/>
  <c r="F24" i="7" s="1"/>
  <c r="E16" i="7"/>
  <c r="E24" i="7" s="1"/>
  <c r="D16" i="7"/>
  <c r="D24" i="7" s="1"/>
  <c r="C16" i="7"/>
  <c r="C24" i="7" s="1"/>
  <c r="J15" i="7"/>
  <c r="J23" i="7" s="1"/>
  <c r="I15" i="7"/>
  <c r="I23" i="7" s="1"/>
  <c r="H15" i="7"/>
  <c r="H23" i="7" s="1"/>
  <c r="G15" i="7"/>
  <c r="G23" i="7" s="1"/>
  <c r="F15" i="7"/>
  <c r="F23" i="7" s="1"/>
  <c r="E15" i="7"/>
  <c r="E23" i="7" s="1"/>
  <c r="D15" i="7"/>
  <c r="D23" i="7" s="1"/>
  <c r="C15" i="7"/>
  <c r="C23" i="7" s="1"/>
  <c r="J14" i="7"/>
  <c r="J22" i="7" s="1"/>
  <c r="I14" i="7"/>
  <c r="I22" i="7" s="1"/>
  <c r="H14" i="7"/>
  <c r="H22" i="7" s="1"/>
  <c r="G14" i="7"/>
  <c r="G22" i="7" s="1"/>
  <c r="F14" i="7"/>
  <c r="F22" i="7" s="1"/>
  <c r="E14" i="7"/>
  <c r="E22" i="7" s="1"/>
  <c r="D14" i="7"/>
  <c r="D22" i="7" s="1"/>
  <c r="C14" i="7"/>
  <c r="C22" i="7" s="1"/>
  <c r="J13" i="7"/>
  <c r="J21" i="7" s="1"/>
  <c r="I13" i="7"/>
  <c r="I21" i="7" s="1"/>
  <c r="H13" i="7"/>
  <c r="H21" i="7" s="1"/>
  <c r="G13" i="7"/>
  <c r="G21" i="7" s="1"/>
  <c r="F13" i="7"/>
  <c r="F21" i="7" s="1"/>
  <c r="E13" i="7"/>
  <c r="E21" i="7" s="1"/>
  <c r="D13" i="7"/>
  <c r="D21" i="7" s="1"/>
  <c r="C13" i="7"/>
  <c r="C21" i="7" s="1"/>
  <c r="J12" i="7"/>
  <c r="J20" i="7" s="1"/>
  <c r="I12" i="7"/>
  <c r="I20" i="7" s="1"/>
  <c r="H12" i="7"/>
  <c r="H20" i="7" s="1"/>
  <c r="G12" i="7"/>
  <c r="G20" i="7" s="1"/>
  <c r="F12" i="7"/>
  <c r="F20" i="7" s="1"/>
  <c r="E12" i="7"/>
  <c r="E20" i="7" s="1"/>
  <c r="D12" i="7"/>
  <c r="D20" i="7" s="1"/>
  <c r="C12" i="7"/>
  <c r="C20" i="7" s="1"/>
  <c r="J11" i="7"/>
  <c r="J19" i="7" s="1"/>
  <c r="I11" i="7"/>
  <c r="I19" i="7" s="1"/>
  <c r="H11" i="7"/>
  <c r="H19" i="7" s="1"/>
  <c r="G11" i="7"/>
  <c r="G19" i="7" s="1"/>
  <c r="F11" i="7"/>
  <c r="F19" i="7" s="1"/>
  <c r="E11" i="7"/>
  <c r="E19" i="7" s="1"/>
  <c r="D11" i="7"/>
  <c r="D19" i="7" s="1"/>
  <c r="C11" i="7"/>
  <c r="C19" i="7" s="1"/>
  <c r="J10" i="7"/>
  <c r="J18" i="7" s="1"/>
  <c r="I10" i="7"/>
  <c r="I18" i="7" s="1"/>
  <c r="H10" i="7"/>
  <c r="H18" i="7" s="1"/>
  <c r="G10" i="7"/>
  <c r="G18" i="7" s="1"/>
  <c r="F10" i="7"/>
  <c r="F18" i="7" s="1"/>
  <c r="E10" i="7"/>
  <c r="E18" i="7" s="1"/>
  <c r="D10" i="7"/>
  <c r="D18" i="7" s="1"/>
  <c r="C10" i="7"/>
  <c r="C18" i="7" s="1"/>
  <c r="J17" i="6"/>
  <c r="I17" i="6"/>
  <c r="I25" i="6" s="1"/>
  <c r="H17" i="6"/>
  <c r="H25" i="6" s="1"/>
  <c r="G17" i="6"/>
  <c r="G25" i="6" s="1"/>
  <c r="F17" i="6"/>
  <c r="F25" i="6" s="1"/>
  <c r="E17" i="6"/>
  <c r="E25" i="6" s="1"/>
  <c r="D17" i="6"/>
  <c r="D25" i="6" s="1"/>
  <c r="C17" i="6"/>
  <c r="C25" i="6" s="1"/>
  <c r="J16" i="6"/>
  <c r="J24" i="6" s="1"/>
  <c r="I16" i="6"/>
  <c r="I24" i="6" s="1"/>
  <c r="H16" i="6"/>
  <c r="H24" i="6" s="1"/>
  <c r="G16" i="6"/>
  <c r="G24" i="6" s="1"/>
  <c r="F16" i="6"/>
  <c r="F24" i="6" s="1"/>
  <c r="E16" i="6"/>
  <c r="E24" i="6" s="1"/>
  <c r="D16" i="6"/>
  <c r="D24" i="6" s="1"/>
  <c r="C16" i="6"/>
  <c r="C24" i="6" s="1"/>
  <c r="J15" i="6"/>
  <c r="J23" i="6" s="1"/>
  <c r="I15" i="6"/>
  <c r="I23" i="6" s="1"/>
  <c r="H15" i="6"/>
  <c r="H23" i="6" s="1"/>
  <c r="G15" i="6"/>
  <c r="G23" i="6" s="1"/>
  <c r="F15" i="6"/>
  <c r="F23" i="6" s="1"/>
  <c r="E15" i="6"/>
  <c r="E23" i="6" s="1"/>
  <c r="D15" i="6"/>
  <c r="D23" i="6" s="1"/>
  <c r="C15" i="6"/>
  <c r="C23" i="6" s="1"/>
  <c r="J14" i="6"/>
  <c r="J22" i="6" s="1"/>
  <c r="I14" i="6"/>
  <c r="I22" i="6" s="1"/>
  <c r="H14" i="6"/>
  <c r="H22" i="6" s="1"/>
  <c r="G14" i="6"/>
  <c r="G22" i="6" s="1"/>
  <c r="F14" i="6"/>
  <c r="F22" i="6" s="1"/>
  <c r="E14" i="6"/>
  <c r="E22" i="6" s="1"/>
  <c r="D14" i="6"/>
  <c r="D22" i="6" s="1"/>
  <c r="C14" i="6"/>
  <c r="C22" i="6" s="1"/>
  <c r="J13" i="6"/>
  <c r="J21" i="6" s="1"/>
  <c r="I13" i="6"/>
  <c r="I21" i="6" s="1"/>
  <c r="H13" i="6"/>
  <c r="H21" i="6" s="1"/>
  <c r="G13" i="6"/>
  <c r="G21" i="6" s="1"/>
  <c r="F13" i="6"/>
  <c r="F21" i="6" s="1"/>
  <c r="E13" i="6"/>
  <c r="E21" i="6" s="1"/>
  <c r="D13" i="6"/>
  <c r="D21" i="6" s="1"/>
  <c r="C13" i="6"/>
  <c r="C21" i="6" s="1"/>
  <c r="J12" i="6"/>
  <c r="J20" i="6" s="1"/>
  <c r="I12" i="6"/>
  <c r="I20" i="6" s="1"/>
  <c r="H12" i="6"/>
  <c r="H20" i="6" s="1"/>
  <c r="G12" i="6"/>
  <c r="G20" i="6" s="1"/>
  <c r="F12" i="6"/>
  <c r="F20" i="6" s="1"/>
  <c r="E12" i="6"/>
  <c r="E20" i="6" s="1"/>
  <c r="D12" i="6"/>
  <c r="D20" i="6" s="1"/>
  <c r="C12" i="6"/>
  <c r="C20" i="6" s="1"/>
  <c r="J11" i="6"/>
  <c r="J19" i="6" s="1"/>
  <c r="I11" i="6"/>
  <c r="H11" i="6"/>
  <c r="G11" i="6"/>
  <c r="G19" i="6" s="1"/>
  <c r="F11" i="6"/>
  <c r="E11" i="6"/>
  <c r="E19" i="6" s="1"/>
  <c r="D11" i="6"/>
  <c r="D19" i="6" s="1"/>
  <c r="C11" i="6"/>
  <c r="C19" i="6" s="1"/>
  <c r="J10" i="6"/>
  <c r="J18" i="6" s="1"/>
  <c r="I10" i="6"/>
  <c r="I18" i="6" s="1"/>
  <c r="H10" i="6"/>
  <c r="H18" i="6" s="1"/>
  <c r="G10" i="6"/>
  <c r="G18" i="6" s="1"/>
  <c r="F10" i="6"/>
  <c r="F18" i="6" s="1"/>
  <c r="E10" i="6"/>
  <c r="E18" i="6" s="1"/>
  <c r="D10" i="6"/>
  <c r="D18" i="6" s="1"/>
  <c r="C10" i="6"/>
  <c r="C18" i="6" s="1"/>
  <c r="J25" i="6"/>
  <c r="I19" i="6"/>
  <c r="H19" i="6"/>
  <c r="F19" i="6"/>
  <c r="J17" i="2"/>
  <c r="J17" i="5" l="1"/>
  <c r="J25" i="5" s="1"/>
  <c r="I17" i="5"/>
  <c r="I25" i="5" s="1"/>
  <c r="H17" i="5"/>
  <c r="H25" i="5" s="1"/>
  <c r="G17" i="5"/>
  <c r="G25" i="5" s="1"/>
  <c r="F17" i="5"/>
  <c r="F25" i="5" s="1"/>
  <c r="E17" i="5"/>
  <c r="E25" i="5" s="1"/>
  <c r="D17" i="5"/>
  <c r="D25" i="5" s="1"/>
  <c r="C17" i="5"/>
  <c r="C25" i="5" s="1"/>
  <c r="J16" i="5"/>
  <c r="J24" i="5" s="1"/>
  <c r="I16" i="5"/>
  <c r="I24" i="5" s="1"/>
  <c r="H16" i="5"/>
  <c r="H24" i="5" s="1"/>
  <c r="G16" i="5"/>
  <c r="G24" i="5" s="1"/>
  <c r="F16" i="5"/>
  <c r="F24" i="5" s="1"/>
  <c r="E16" i="5"/>
  <c r="E24" i="5" s="1"/>
  <c r="D16" i="5"/>
  <c r="D24" i="5" s="1"/>
  <c r="C16" i="5"/>
  <c r="C24" i="5" s="1"/>
  <c r="J15" i="5"/>
  <c r="J23" i="5" s="1"/>
  <c r="I15" i="5"/>
  <c r="I23" i="5" s="1"/>
  <c r="H15" i="5"/>
  <c r="H23" i="5" s="1"/>
  <c r="G15" i="5"/>
  <c r="G23" i="5" s="1"/>
  <c r="F15" i="5"/>
  <c r="F23" i="5" s="1"/>
  <c r="E15" i="5"/>
  <c r="E23" i="5" s="1"/>
  <c r="D15" i="5"/>
  <c r="D23" i="5" s="1"/>
  <c r="C15" i="5"/>
  <c r="C23" i="5" s="1"/>
  <c r="J14" i="5"/>
  <c r="J22" i="5" s="1"/>
  <c r="I14" i="5"/>
  <c r="I22" i="5" s="1"/>
  <c r="H14" i="5"/>
  <c r="H22" i="5" s="1"/>
  <c r="G14" i="5"/>
  <c r="G22" i="5" s="1"/>
  <c r="F14" i="5"/>
  <c r="F22" i="5" s="1"/>
  <c r="E14" i="5"/>
  <c r="E22" i="5" s="1"/>
  <c r="D14" i="5"/>
  <c r="D22" i="5" s="1"/>
  <c r="C14" i="5"/>
  <c r="C22" i="5" s="1"/>
  <c r="J13" i="5"/>
  <c r="J21" i="5" s="1"/>
  <c r="I13" i="5"/>
  <c r="I21" i="5" s="1"/>
  <c r="H13" i="5"/>
  <c r="H21" i="5" s="1"/>
  <c r="G13" i="5"/>
  <c r="G21" i="5" s="1"/>
  <c r="F13" i="5"/>
  <c r="F21" i="5" s="1"/>
  <c r="E13" i="5"/>
  <c r="E21" i="5" s="1"/>
  <c r="D13" i="5"/>
  <c r="D21" i="5" s="1"/>
  <c r="C13" i="5"/>
  <c r="C21" i="5" s="1"/>
  <c r="J12" i="5"/>
  <c r="J20" i="5" s="1"/>
  <c r="I12" i="5"/>
  <c r="I20" i="5" s="1"/>
  <c r="H12" i="5"/>
  <c r="H20" i="5" s="1"/>
  <c r="G12" i="5"/>
  <c r="G20" i="5" s="1"/>
  <c r="F12" i="5"/>
  <c r="F20" i="5" s="1"/>
  <c r="E12" i="5"/>
  <c r="E20" i="5" s="1"/>
  <c r="D12" i="5"/>
  <c r="D20" i="5" s="1"/>
  <c r="C12" i="5"/>
  <c r="C20" i="5" s="1"/>
  <c r="J11" i="5"/>
  <c r="J19" i="5" s="1"/>
  <c r="I11" i="5"/>
  <c r="I19" i="5" s="1"/>
  <c r="H11" i="5"/>
  <c r="H19" i="5" s="1"/>
  <c r="G11" i="5"/>
  <c r="G19" i="5" s="1"/>
  <c r="F11" i="5"/>
  <c r="F19" i="5" s="1"/>
  <c r="E11" i="5"/>
  <c r="E19" i="5" s="1"/>
  <c r="D11" i="5"/>
  <c r="D19" i="5" s="1"/>
  <c r="C11" i="5"/>
  <c r="C19" i="5" s="1"/>
  <c r="J10" i="5"/>
  <c r="J18" i="5" s="1"/>
  <c r="I10" i="5"/>
  <c r="I18" i="5" s="1"/>
  <c r="H10" i="5"/>
  <c r="H18" i="5" s="1"/>
  <c r="G10" i="5"/>
  <c r="G18" i="5" s="1"/>
  <c r="F10" i="5"/>
  <c r="F18" i="5" s="1"/>
  <c r="E10" i="5"/>
  <c r="E18" i="5" s="1"/>
  <c r="D10" i="5"/>
  <c r="D18" i="5" s="1"/>
  <c r="C10" i="5"/>
  <c r="C18" i="5" s="1"/>
  <c r="J25" i="2"/>
  <c r="C17" i="2" l="1"/>
  <c r="C25" i="2" s="1"/>
  <c r="D17" i="2"/>
  <c r="D25" i="2" s="1"/>
  <c r="E17" i="2"/>
  <c r="E25" i="2" s="1"/>
  <c r="F17" i="2"/>
  <c r="F25" i="2" s="1"/>
  <c r="G17" i="2"/>
  <c r="G25" i="2" s="1"/>
  <c r="H17" i="2"/>
  <c r="H25" i="2" s="1"/>
  <c r="I17" i="2"/>
  <c r="I25" i="2" s="1"/>
  <c r="D64" i="4" l="1"/>
  <c r="D65" i="4"/>
  <c r="O55" i="4"/>
  <c r="N55" i="4"/>
  <c r="N57" i="4" s="1"/>
  <c r="M55" i="4"/>
  <c r="M57" i="4" s="1"/>
  <c r="L55" i="4"/>
  <c r="L57" i="4" s="1"/>
  <c r="K55" i="4"/>
  <c r="K57" i="4" s="1"/>
  <c r="J55" i="4"/>
  <c r="J57" i="4" s="1"/>
  <c r="I55" i="4"/>
  <c r="I57" i="4" s="1"/>
  <c r="G55" i="4"/>
  <c r="G57" i="4" s="1"/>
  <c r="F55" i="4"/>
  <c r="F57" i="4" s="1"/>
  <c r="E55" i="4"/>
  <c r="E57" i="4" s="1"/>
  <c r="D55" i="4"/>
  <c r="D57" i="4" s="1"/>
  <c r="O54" i="4"/>
  <c r="N54" i="4"/>
  <c r="N56" i="4" s="1"/>
  <c r="M54" i="4"/>
  <c r="M56" i="4" s="1"/>
  <c r="L54" i="4"/>
  <c r="L56" i="4" s="1"/>
  <c r="J54" i="4"/>
  <c r="J56" i="4" s="1"/>
  <c r="I54" i="4"/>
  <c r="I56" i="4" s="1"/>
  <c r="G54" i="4"/>
  <c r="G56" i="4" s="1"/>
  <c r="F54" i="4"/>
  <c r="F56" i="4" s="1"/>
  <c r="E54" i="4"/>
  <c r="E56" i="4" s="1"/>
  <c r="D54" i="4"/>
  <c r="D56" i="4" s="1"/>
  <c r="O47" i="4"/>
  <c r="N47" i="4"/>
  <c r="N49" i="4" s="1"/>
  <c r="M47" i="4"/>
  <c r="M49" i="4" s="1"/>
  <c r="L47" i="4"/>
  <c r="L49" i="4" s="1"/>
  <c r="K47" i="4"/>
  <c r="K49" i="4" s="1"/>
  <c r="J47" i="4"/>
  <c r="J49" i="4" s="1"/>
  <c r="I47" i="4"/>
  <c r="I49" i="4" s="1"/>
  <c r="G47" i="4"/>
  <c r="G49" i="4" s="1"/>
  <c r="F47" i="4"/>
  <c r="F49" i="4" s="1"/>
  <c r="E47" i="4"/>
  <c r="E49" i="4" s="1"/>
  <c r="D47" i="4"/>
  <c r="D49" i="4" s="1"/>
  <c r="O46" i="4"/>
  <c r="N46" i="4"/>
  <c r="N48" i="4" s="1"/>
  <c r="M46" i="4"/>
  <c r="M48" i="4" s="1"/>
  <c r="L46" i="4"/>
  <c r="L48" i="4" s="1"/>
  <c r="K46" i="4"/>
  <c r="K48" i="4" s="1"/>
  <c r="J46" i="4"/>
  <c r="J48" i="4" s="1"/>
  <c r="I46" i="4"/>
  <c r="I48" i="4" s="1"/>
  <c r="G46" i="4"/>
  <c r="G48" i="4" s="1"/>
  <c r="F46" i="4"/>
  <c r="F48" i="4" s="1"/>
  <c r="E46" i="4"/>
  <c r="E48" i="4" s="1"/>
  <c r="D46" i="4"/>
  <c r="D48" i="4" s="1"/>
  <c r="O39" i="4"/>
  <c r="N39" i="4"/>
  <c r="N41" i="4" s="1"/>
  <c r="M39" i="4"/>
  <c r="M41" i="4" s="1"/>
  <c r="L39" i="4"/>
  <c r="L41" i="4" s="1"/>
  <c r="K39" i="4"/>
  <c r="K41" i="4" s="1"/>
  <c r="J39" i="4"/>
  <c r="J41" i="4" s="1"/>
  <c r="I39" i="4"/>
  <c r="I41" i="4" s="1"/>
  <c r="G39" i="4"/>
  <c r="G41" i="4" s="1"/>
  <c r="F39" i="4"/>
  <c r="F41" i="4" s="1"/>
  <c r="E39" i="4"/>
  <c r="E41" i="4" s="1"/>
  <c r="D39" i="4"/>
  <c r="D41" i="4" s="1"/>
  <c r="O38" i="4"/>
  <c r="N38" i="4"/>
  <c r="N40" i="4" s="1"/>
  <c r="M38" i="4"/>
  <c r="M40" i="4" s="1"/>
  <c r="L38" i="4"/>
  <c r="L40" i="4" s="1"/>
  <c r="K38" i="4"/>
  <c r="K40" i="4" s="1"/>
  <c r="J38" i="4"/>
  <c r="J40" i="4" s="1"/>
  <c r="I38" i="4"/>
  <c r="I40" i="4" s="1"/>
  <c r="G38" i="4"/>
  <c r="G40" i="4" s="1"/>
  <c r="F38" i="4"/>
  <c r="F40" i="4" s="1"/>
  <c r="E38" i="4"/>
  <c r="E40" i="4" s="1"/>
  <c r="D38" i="4"/>
  <c r="D40" i="4" s="1"/>
  <c r="O31" i="4"/>
  <c r="N31" i="4"/>
  <c r="N33" i="4" s="1"/>
  <c r="M31" i="4"/>
  <c r="M33" i="4" s="1"/>
  <c r="L31" i="4"/>
  <c r="L33" i="4" s="1"/>
  <c r="K31" i="4"/>
  <c r="K33" i="4" s="1"/>
  <c r="J31" i="4"/>
  <c r="J33" i="4" s="1"/>
  <c r="I31" i="4"/>
  <c r="I33" i="4" s="1"/>
  <c r="G31" i="4"/>
  <c r="G33" i="4" s="1"/>
  <c r="F31" i="4"/>
  <c r="F33" i="4" s="1"/>
  <c r="E31" i="4"/>
  <c r="E33" i="4" s="1"/>
  <c r="D31" i="4"/>
  <c r="D33" i="4" s="1"/>
  <c r="O30" i="4"/>
  <c r="N30" i="4"/>
  <c r="N32" i="4" s="1"/>
  <c r="M30" i="4"/>
  <c r="M32" i="4" s="1"/>
  <c r="L30" i="4"/>
  <c r="L32" i="4" s="1"/>
  <c r="K30" i="4"/>
  <c r="K32" i="4" s="1"/>
  <c r="J30" i="4"/>
  <c r="J32" i="4" s="1"/>
  <c r="I30" i="4"/>
  <c r="I32" i="4" s="1"/>
  <c r="G30" i="4"/>
  <c r="G32" i="4" s="1"/>
  <c r="F30" i="4"/>
  <c r="F32" i="4" s="1"/>
  <c r="E30" i="4"/>
  <c r="E32" i="4" s="1"/>
  <c r="D30" i="4"/>
  <c r="D32" i="4" s="1"/>
  <c r="O23" i="4"/>
  <c r="N23" i="4"/>
  <c r="N25" i="4" s="1"/>
  <c r="M23" i="4"/>
  <c r="M25" i="4" s="1"/>
  <c r="L23" i="4"/>
  <c r="L25" i="4" s="1"/>
  <c r="K23" i="4"/>
  <c r="K25" i="4" s="1"/>
  <c r="J23" i="4"/>
  <c r="J25" i="4" s="1"/>
  <c r="I23" i="4"/>
  <c r="I25" i="4" s="1"/>
  <c r="G23" i="4"/>
  <c r="G25" i="4" s="1"/>
  <c r="F23" i="4"/>
  <c r="F25" i="4" s="1"/>
  <c r="E23" i="4"/>
  <c r="E25" i="4" s="1"/>
  <c r="D23" i="4"/>
  <c r="D25" i="4" s="1"/>
  <c r="O22" i="4"/>
  <c r="N22" i="4"/>
  <c r="N24" i="4" s="1"/>
  <c r="M22" i="4"/>
  <c r="M24" i="4" s="1"/>
  <c r="L22" i="4"/>
  <c r="L24" i="4" s="1"/>
  <c r="J22" i="4"/>
  <c r="J24" i="4" s="1"/>
  <c r="I22" i="4"/>
  <c r="I24" i="4" s="1"/>
  <c r="G22" i="4"/>
  <c r="G24" i="4" s="1"/>
  <c r="F22" i="4"/>
  <c r="F24" i="4" s="1"/>
  <c r="E22" i="4"/>
  <c r="E24" i="4" s="1"/>
  <c r="D22" i="4"/>
  <c r="D24" i="4" s="1"/>
  <c r="J16" i="2"/>
  <c r="J15" i="2"/>
  <c r="J14" i="2"/>
  <c r="J13" i="2"/>
  <c r="J12" i="2"/>
  <c r="J11" i="2"/>
  <c r="J10" i="2"/>
  <c r="I16" i="2"/>
  <c r="I15" i="2"/>
  <c r="I14" i="2"/>
  <c r="I13" i="2"/>
  <c r="I12" i="2"/>
  <c r="I11" i="2"/>
  <c r="I10" i="2"/>
  <c r="H16" i="2"/>
  <c r="H15" i="2"/>
  <c r="H14" i="2"/>
  <c r="H13" i="2"/>
  <c r="H12" i="2"/>
  <c r="H11" i="2"/>
  <c r="H10" i="2"/>
  <c r="G16" i="2"/>
  <c r="G15" i="2"/>
  <c r="G14" i="2"/>
  <c r="G13" i="2"/>
  <c r="G12" i="2"/>
  <c r="G11" i="2"/>
  <c r="G10" i="2"/>
  <c r="F16" i="2"/>
  <c r="F15" i="2"/>
  <c r="F14" i="2"/>
  <c r="F13" i="2"/>
  <c r="F12" i="2"/>
  <c r="F11" i="2"/>
  <c r="F10" i="2"/>
  <c r="E16" i="2"/>
  <c r="E15" i="2"/>
  <c r="E14" i="2"/>
  <c r="E13" i="2"/>
  <c r="E12" i="2"/>
  <c r="E11" i="2"/>
  <c r="E10" i="2"/>
  <c r="D16" i="2"/>
  <c r="D15" i="2"/>
  <c r="D14" i="2"/>
  <c r="D13" i="2"/>
  <c r="D12" i="2"/>
  <c r="D11" i="2"/>
  <c r="D10" i="2"/>
  <c r="C16" i="2"/>
  <c r="C15" i="2"/>
  <c r="C14" i="2"/>
  <c r="C13" i="2"/>
  <c r="C12" i="2"/>
  <c r="C11" i="2"/>
  <c r="C10" i="2"/>
  <c r="Q61" i="4" l="1"/>
  <c r="P61" i="4"/>
  <c r="Q60" i="4"/>
  <c r="P60" i="4"/>
  <c r="Q53" i="4"/>
  <c r="P53" i="4"/>
  <c r="Q52" i="4"/>
  <c r="P52" i="4"/>
  <c r="Q51" i="4"/>
  <c r="Q45" i="4"/>
  <c r="P45" i="4"/>
  <c r="Q44" i="4"/>
  <c r="P44" i="4"/>
  <c r="Q37" i="4"/>
  <c r="P37" i="4"/>
  <c r="Q36" i="4"/>
  <c r="P36" i="4"/>
  <c r="Q29" i="4"/>
  <c r="P29" i="4"/>
  <c r="Q28" i="4"/>
  <c r="P28" i="4"/>
  <c r="Q27" i="4"/>
  <c r="Q21" i="4"/>
  <c r="P21" i="4"/>
  <c r="Q20" i="4"/>
  <c r="P20" i="4"/>
  <c r="Q18" i="4"/>
  <c r="Q5" i="4"/>
  <c r="P5" i="4"/>
  <c r="Q4" i="4"/>
  <c r="P4" i="4"/>
  <c r="O7" i="4"/>
  <c r="N7" i="4"/>
  <c r="N9" i="4" s="1"/>
  <c r="M7" i="4"/>
  <c r="M9" i="4" s="1"/>
  <c r="L7" i="4"/>
  <c r="L9" i="4" s="1"/>
  <c r="K7" i="4"/>
  <c r="K9" i="4" s="1"/>
  <c r="J7" i="4"/>
  <c r="J9" i="4" s="1"/>
  <c r="I7" i="4"/>
  <c r="I9" i="4" s="1"/>
  <c r="G7" i="4"/>
  <c r="G9" i="4" s="1"/>
  <c r="F7" i="4"/>
  <c r="F9" i="4" s="1"/>
  <c r="D7" i="4"/>
  <c r="O6" i="4"/>
  <c r="N6" i="4"/>
  <c r="N8" i="4" s="1"/>
  <c r="M6" i="4"/>
  <c r="M8" i="4" s="1"/>
  <c r="L6" i="4"/>
  <c r="L8" i="4" s="1"/>
  <c r="K6" i="4"/>
  <c r="K8" i="4" s="1"/>
  <c r="J6" i="4"/>
  <c r="J8" i="4" s="1"/>
  <c r="I6" i="4"/>
  <c r="I8" i="4" s="1"/>
  <c r="G6" i="4"/>
  <c r="G8" i="4" s="1"/>
  <c r="F6" i="4"/>
  <c r="F8" i="4" s="1"/>
  <c r="E6" i="4"/>
  <c r="E8" i="4" s="1"/>
  <c r="Q2" i="4"/>
  <c r="M25" i="3"/>
  <c r="L25" i="3"/>
  <c r="K25" i="3"/>
  <c r="J25" i="3"/>
  <c r="I25" i="3"/>
  <c r="H25" i="3"/>
  <c r="G25" i="3"/>
  <c r="F25" i="3"/>
  <c r="E25" i="3"/>
  <c r="D25" i="3"/>
  <c r="C25" i="3"/>
  <c r="P24" i="3"/>
  <c r="O24" i="3"/>
  <c r="O23" i="3"/>
  <c r="E39" i="3" s="1"/>
  <c r="M22" i="3"/>
  <c r="L22" i="3"/>
  <c r="K22" i="3"/>
  <c r="J22" i="3"/>
  <c r="I22" i="3"/>
  <c r="H22" i="3"/>
  <c r="G22" i="3"/>
  <c r="F22" i="3"/>
  <c r="E22" i="3"/>
  <c r="D22" i="3"/>
  <c r="C22" i="3"/>
  <c r="P21" i="3"/>
  <c r="O21" i="3"/>
  <c r="P20" i="3"/>
  <c r="O20" i="3"/>
  <c r="E38" i="3" s="1"/>
  <c r="M19" i="3"/>
  <c r="L19" i="3"/>
  <c r="K19" i="3"/>
  <c r="J19" i="3"/>
  <c r="I19" i="3"/>
  <c r="H19" i="3"/>
  <c r="G19" i="3"/>
  <c r="F19" i="3"/>
  <c r="E19" i="3"/>
  <c r="D19" i="3"/>
  <c r="C19" i="3"/>
  <c r="P18" i="3"/>
  <c r="O18" i="3"/>
  <c r="O17" i="3"/>
  <c r="E37" i="3" s="1"/>
  <c r="P15" i="3"/>
  <c r="O15" i="3"/>
  <c r="O14" i="3"/>
  <c r="E36" i="3" s="1"/>
  <c r="N13" i="3"/>
  <c r="M13" i="3"/>
  <c r="L13" i="3"/>
  <c r="J13" i="3"/>
  <c r="I13" i="3"/>
  <c r="H13" i="3"/>
  <c r="G13" i="3"/>
  <c r="F13" i="3"/>
  <c r="E13" i="3"/>
  <c r="D13" i="3"/>
  <c r="C13" i="3"/>
  <c r="P12" i="3"/>
  <c r="O12" i="3"/>
  <c r="O11" i="3"/>
  <c r="E35" i="3" s="1"/>
  <c r="L10" i="3"/>
  <c r="J10" i="3"/>
  <c r="I10" i="3"/>
  <c r="H10" i="3"/>
  <c r="G10" i="3"/>
  <c r="E10" i="3"/>
  <c r="D10" i="3"/>
  <c r="C10" i="3"/>
  <c r="P9" i="3"/>
  <c r="O9" i="3"/>
  <c r="O8" i="3"/>
  <c r="E34" i="3" s="1"/>
  <c r="N7" i="3"/>
  <c r="M7" i="3"/>
  <c r="L7" i="3"/>
  <c r="J7" i="3"/>
  <c r="P6" i="3"/>
  <c r="O6" i="3"/>
  <c r="O5" i="3"/>
  <c r="E33" i="3" s="1"/>
  <c r="N4" i="3"/>
  <c r="M4" i="3"/>
  <c r="L4" i="3"/>
  <c r="J4" i="3"/>
  <c r="I4" i="3"/>
  <c r="H4" i="3"/>
  <c r="G4" i="3"/>
  <c r="F4" i="3"/>
  <c r="E4" i="3"/>
  <c r="D4" i="3"/>
  <c r="C4" i="3"/>
  <c r="P3" i="3"/>
  <c r="O3" i="3"/>
  <c r="O4" i="3" s="1"/>
  <c r="U6" i="3" s="1"/>
  <c r="O7" i="3" l="1"/>
  <c r="V6" i="3" s="1"/>
  <c r="O19" i="3"/>
  <c r="Z6" i="3" s="1"/>
  <c r="O10" i="3"/>
  <c r="W6" i="3" s="1"/>
  <c r="O13" i="3"/>
  <c r="X6" i="3" s="1"/>
  <c r="O16" i="3"/>
  <c r="Y6" i="3" s="1"/>
  <c r="O22" i="3"/>
  <c r="AA6" i="3" s="1"/>
  <c r="O25" i="3"/>
  <c r="AB6" i="3" s="1"/>
  <c r="Q3" i="4"/>
  <c r="Q59" i="4"/>
  <c r="Q43" i="4"/>
  <c r="Q35" i="4"/>
  <c r="D9" i="4"/>
  <c r="Q25" i="4"/>
  <c r="Q23" i="4"/>
  <c r="P23" i="4"/>
  <c r="Q19" i="4"/>
  <c r="P3" i="4"/>
  <c r="P19" i="4"/>
  <c r="P26" i="4"/>
  <c r="Q26" i="4"/>
  <c r="Q40" i="4"/>
  <c r="P38" i="4"/>
  <c r="Q34" i="4"/>
  <c r="Q38" i="4"/>
  <c r="Q56" i="4"/>
  <c r="P54" i="4"/>
  <c r="Q50" i="4"/>
  <c r="Q54" i="4"/>
  <c r="E7" i="4"/>
  <c r="E9" i="4" s="1"/>
  <c r="P2" i="4"/>
  <c r="D6" i="4"/>
  <c r="P18" i="4"/>
  <c r="Q48" i="4"/>
  <c r="P46" i="4"/>
  <c r="Q42" i="4"/>
  <c r="Q46" i="4"/>
  <c r="Q64" i="4"/>
  <c r="P62" i="4"/>
  <c r="Q58" i="4"/>
  <c r="Q62" i="4"/>
  <c r="P34" i="4"/>
  <c r="P42" i="4"/>
  <c r="P50" i="4"/>
  <c r="P58" i="4"/>
  <c r="P27" i="4"/>
  <c r="P35" i="4"/>
  <c r="P43" i="4"/>
  <c r="P51" i="4"/>
  <c r="P59" i="4"/>
  <c r="Q39" i="4" l="1"/>
  <c r="P39" i="4"/>
  <c r="Q41" i="4"/>
  <c r="Q6" i="4"/>
  <c r="D8" i="4"/>
  <c r="Q8" i="4" s="1"/>
  <c r="P6" i="4"/>
  <c r="P7" i="4"/>
  <c r="Q55" i="4"/>
  <c r="P55" i="4"/>
  <c r="Q57" i="4"/>
  <c r="Q63" i="4"/>
  <c r="P63" i="4"/>
  <c r="Q65" i="4"/>
  <c r="Q47" i="4"/>
  <c r="P47" i="4"/>
  <c r="Q49" i="4"/>
  <c r="Q32" i="4"/>
  <c r="P30" i="4"/>
  <c r="Q30" i="4"/>
  <c r="Q7" i="4"/>
  <c r="Q31" i="4"/>
  <c r="P31" i="4"/>
  <c r="Q33" i="4"/>
  <c r="Q22" i="4"/>
  <c r="Q24" i="4"/>
  <c r="P22" i="4"/>
  <c r="Q9" i="4"/>
  <c r="J24" i="2" l="1"/>
  <c r="I24" i="2"/>
  <c r="H24" i="2"/>
  <c r="G24" i="2"/>
  <c r="F24" i="2"/>
  <c r="E24" i="2"/>
  <c r="D24" i="2"/>
  <c r="C24" i="2"/>
  <c r="J23" i="2"/>
  <c r="I23" i="2"/>
  <c r="H23" i="2"/>
  <c r="G23" i="2"/>
  <c r="F23" i="2"/>
  <c r="E23" i="2"/>
  <c r="D23" i="2"/>
  <c r="C23" i="2"/>
  <c r="J22" i="2"/>
  <c r="I22" i="2"/>
  <c r="H22" i="2"/>
  <c r="G22" i="2"/>
  <c r="F22" i="2"/>
  <c r="E22" i="2"/>
  <c r="D22" i="2"/>
  <c r="C22" i="2"/>
  <c r="J21" i="2"/>
  <c r="I21" i="2"/>
  <c r="H21" i="2"/>
  <c r="G21" i="2"/>
  <c r="F21" i="2"/>
  <c r="E21" i="2"/>
  <c r="D21" i="2"/>
  <c r="C21" i="2"/>
  <c r="J20" i="2"/>
  <c r="I20" i="2"/>
  <c r="H20" i="2"/>
  <c r="G20" i="2"/>
  <c r="F20" i="2"/>
  <c r="E20" i="2"/>
  <c r="D20" i="2"/>
  <c r="C20" i="2"/>
  <c r="J19" i="2"/>
  <c r="I19" i="2"/>
  <c r="H19" i="2"/>
  <c r="G19" i="2"/>
  <c r="F19" i="2"/>
  <c r="E19" i="2"/>
  <c r="D19" i="2"/>
  <c r="C19" i="2"/>
  <c r="J18" i="2"/>
  <c r="I18" i="2"/>
  <c r="H18" i="2"/>
  <c r="G18" i="2"/>
  <c r="F18" i="2"/>
  <c r="E18" i="2"/>
  <c r="D18" i="2"/>
  <c r="C18" i="2"/>
</calcChain>
</file>

<file path=xl/sharedStrings.xml><?xml version="1.0" encoding="utf-8"?>
<sst xmlns="http://schemas.openxmlformats.org/spreadsheetml/2006/main" count="937" uniqueCount="100">
  <si>
    <t>宜蘭</t>
    <phoneticPr fontId="2" type="noConversion"/>
  </si>
  <si>
    <t>八里</t>
    <phoneticPr fontId="2" type="noConversion"/>
  </si>
  <si>
    <t>新店</t>
    <phoneticPr fontId="2" type="noConversion"/>
  </si>
  <si>
    <t>樹林</t>
    <phoneticPr fontId="2" type="noConversion"/>
  </si>
  <si>
    <t>台中</t>
    <phoneticPr fontId="2" type="noConversion"/>
  </si>
  <si>
    <t>鹿草</t>
    <phoneticPr fontId="2" type="noConversion"/>
  </si>
  <si>
    <t>嘉義</t>
    <phoneticPr fontId="2" type="noConversion"/>
  </si>
  <si>
    <t>永康</t>
    <phoneticPr fontId="2" type="noConversion"/>
  </si>
  <si>
    <t>仁武</t>
    <phoneticPr fontId="2" type="noConversion"/>
  </si>
  <si>
    <t>KPI項目</t>
    <phoneticPr fontId="2" type="noConversion"/>
  </si>
  <si>
    <t>說明</t>
    <phoneticPr fontId="2" type="noConversion"/>
  </si>
  <si>
    <t>條件</t>
    <phoneticPr fontId="2" type="noConversion"/>
  </si>
  <si>
    <t>單位</t>
    <phoneticPr fontId="2" type="noConversion"/>
  </si>
  <si>
    <t>重複性故障</t>
    <phoneticPr fontId="2" type="noConversion"/>
  </si>
  <si>
    <t>設備發生相同故障原因之重複工單統計</t>
    <phoneticPr fontId="2" type="noConversion"/>
  </si>
  <si>
    <t>≦</t>
    <phoneticPr fontId="2" type="noConversion"/>
  </si>
  <si>
    <t>工單件數/月</t>
    <phoneticPr fontId="2" type="noConversion"/>
  </si>
  <si>
    <t>逾期工單</t>
    <phoneticPr fontId="2" type="noConversion"/>
  </si>
  <si>
    <t>每月派工單逾期完工比例</t>
    <phoneticPr fontId="2" type="noConversion"/>
  </si>
  <si>
    <t>%</t>
    <phoneticPr fontId="2" type="noConversion"/>
  </si>
  <si>
    <t>預防矯正改善</t>
    <phoneticPr fontId="2" type="noConversion"/>
  </si>
  <si>
    <t>針對重複故障所進行的設備保養維護或改善工單統計</t>
    <phoneticPr fontId="2" type="noConversion"/>
  </si>
  <si>
    <t>≧</t>
    <phoneticPr fontId="2" type="noConversion"/>
  </si>
  <si>
    <t>故障維修工時</t>
  </si>
  <si>
    <t>每月故障維修類別之派工單工時統計</t>
    <phoneticPr fontId="2" type="noConversion"/>
  </si>
  <si>
    <t>維修工時/月</t>
    <phoneticPr fontId="2" type="noConversion"/>
  </si>
  <si>
    <t>故障停機時數</t>
  </si>
  <si>
    <t>每月故障維修類別之派工單停機時數統計</t>
    <phoneticPr fontId="2" type="noConversion"/>
  </si>
  <si>
    <t>停機時數/月</t>
    <phoneticPr fontId="2" type="noConversion"/>
  </si>
  <si>
    <t>MTTF</t>
    <phoneticPr fontId="2" type="noConversion"/>
  </si>
  <si>
    <t>MTTF&lt;30天未達標設備之數量統計</t>
    <phoneticPr fontId="2" type="noConversion"/>
  </si>
  <si>
    <t>設備數/月</t>
    <phoneticPr fontId="2" type="noConversion"/>
  </si>
  <si>
    <t>妥善率</t>
    <phoneticPr fontId="2" type="noConversion"/>
  </si>
  <si>
    <t>妥善率未達99%之設備數量統計</t>
    <phoneticPr fontId="2" type="noConversion"/>
  </si>
  <si>
    <t>結單率</t>
    <phoneticPr fontId="2" type="noConversion"/>
  </si>
  <si>
    <t xml:space="preserve"> 每月工單開立數量與完工數量之比</t>
    <phoneticPr fontId="2" type="noConversion"/>
  </si>
  <si>
    <t>說明：</t>
    <phoneticPr fontId="2" type="noConversion"/>
  </si>
  <si>
    <t>1.設備MTTF、妥善率以進行年度歸零重新開始計算</t>
    <phoneticPr fontId="2" type="noConversion"/>
  </si>
  <si>
    <t>3.預防矯正改善調整為12件/月</t>
    <phoneticPr fontId="2" type="noConversion"/>
  </si>
  <si>
    <t>Actual</t>
    <phoneticPr fontId="2" type="noConversion"/>
  </si>
  <si>
    <t>重複性故障</t>
  </si>
  <si>
    <t>逾期工單</t>
  </si>
  <si>
    <t>預防矯正改善</t>
  </si>
  <si>
    <t>MTTF</t>
  </si>
  <si>
    <t>妥善率</t>
  </si>
  <si>
    <t>結單率</t>
  </si>
  <si>
    <t>Target MTD</t>
    <phoneticPr fontId="2" type="noConversion"/>
  </si>
  <si>
    <t>Act vs. Target MTD Variance</t>
    <phoneticPr fontId="2" type="noConversion"/>
  </si>
  <si>
    <t>未達目標說明</t>
    <phoneticPr fontId="2" type="noConversion"/>
  </si>
  <si>
    <t>設備發生相同故障原因之重複工單統計</t>
  </si>
  <si>
    <t>每月派工單逾期完工統計</t>
  </si>
  <si>
    <t>針對重複故障所進行的設備保養維護或改善工單統計</t>
  </si>
  <si>
    <t>每月故障維修類別之派工單工時統計</t>
  </si>
  <si>
    <t>每月故障維修類別之派工單停機時數統計</t>
  </si>
  <si>
    <t>MTTF&lt;30天未達標設備之數量統計</t>
  </si>
  <si>
    <t>妥善率未達99%之設備數量統計</t>
  </si>
  <si>
    <t xml:space="preserve"> 每月工單開立數量與完工數量之比</t>
  </si>
  <si>
    <t>每月初工單結算統計結果與次月廠端補單差異比較</t>
    <phoneticPr fontId="2" type="noConversion"/>
  </si>
  <si>
    <t>Jan</t>
    <phoneticPr fontId="2" type="noConversion"/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</si>
  <si>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</si>
  <si>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</si>
  <si>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</si>
  <si>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</si>
  <si>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</si>
  <si>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</si>
  <si>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</si>
  <si>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</si>
  <si>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</si>
  <si>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</si>
  <si>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</si>
  <si>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小計</t>
    <phoneticPr fontId="2" type="noConversion"/>
  </si>
  <si>
    <t>平均/月</t>
    <phoneticPr fontId="2" type="noConversion"/>
  </si>
  <si>
    <t>月初結算</t>
    <phoneticPr fontId="2" type="noConversion"/>
  </si>
  <si>
    <t>開立數量</t>
    <phoneticPr fontId="2" type="noConversion"/>
  </si>
  <si>
    <t>完工數量</t>
    <phoneticPr fontId="2" type="noConversion"/>
  </si>
  <si>
    <t>次月補單</t>
    <phoneticPr fontId="2" type="noConversion"/>
  </si>
  <si>
    <t>差異</t>
    <phoneticPr fontId="2" type="noConversion"/>
  </si>
  <si>
    <r>
      <rPr>
        <sz val="12"/>
        <color rgb="FFFF0000"/>
        <rFont val="新細明體"/>
        <family val="1"/>
        <charset val="136"/>
        <scheme val="minor"/>
      </rPr>
      <t>Red</t>
    </r>
    <r>
      <rPr>
        <sz val="12"/>
        <color theme="1"/>
        <rFont val="新細明體"/>
        <family val="2"/>
        <charset val="136"/>
        <scheme val="minor"/>
      </rPr>
      <t>:  有修改</t>
    </r>
    <phoneticPr fontId="2" type="noConversion"/>
  </si>
  <si>
    <t>ERP工單結單率</t>
    <phoneticPr fontId="2" type="noConversion"/>
  </si>
  <si>
    <t>廠別</t>
    <phoneticPr fontId="2" type="noConversion"/>
  </si>
  <si>
    <t>YTD平均
結單率</t>
    <phoneticPr fontId="2" type="noConversion"/>
  </si>
  <si>
    <t>宜蘭</t>
  </si>
  <si>
    <t>八里</t>
  </si>
  <si>
    <t>新店</t>
  </si>
  <si>
    <t>樹林</t>
  </si>
  <si>
    <t>台中</t>
  </si>
  <si>
    <t>鹿草</t>
  </si>
  <si>
    <t>嘉義</t>
  </si>
  <si>
    <t>永康</t>
  </si>
  <si>
    <r>
      <rPr>
        <sz val="12"/>
        <color rgb="FF00B050"/>
        <rFont val="新細明體"/>
        <family val="1"/>
        <charset val="136"/>
        <scheme val="minor"/>
      </rPr>
      <t>Green</t>
    </r>
    <r>
      <rPr>
        <sz val="12"/>
        <color theme="1"/>
        <rFont val="新細明體"/>
        <family val="2"/>
        <charset val="136"/>
        <scheme val="minor"/>
      </rPr>
      <t>:&gt;90%，</t>
    </r>
    <r>
      <rPr>
        <sz val="12"/>
        <color rgb="FFFF0000"/>
        <rFont val="新細明體"/>
        <family val="1"/>
        <charset val="136"/>
        <scheme val="minor"/>
      </rPr>
      <t>Red</t>
    </r>
    <r>
      <rPr>
        <sz val="12"/>
        <color theme="1"/>
        <rFont val="新細明體"/>
        <family val="2"/>
        <charset val="136"/>
        <scheme val="minor"/>
      </rPr>
      <t>:&lt;70%</t>
    </r>
    <phoneticPr fontId="2" type="noConversion"/>
  </si>
  <si>
    <t>預防矯正改善工單數量</t>
    <phoneticPr fontId="2" type="noConversion"/>
  </si>
  <si>
    <t>未達標次數</t>
    <phoneticPr fontId="2" type="noConversion"/>
  </si>
  <si>
    <t>YTD平均
(預保工單/月)</t>
    <phoneticPr fontId="2" type="noConversion"/>
  </si>
  <si>
    <r>
      <t>*</t>
    </r>
    <r>
      <rPr>
        <b/>
        <sz val="12"/>
        <color theme="1"/>
        <rFont val="細明體"/>
        <family val="2"/>
        <charset val="136"/>
      </rPr>
      <t>紅色表示預防保養每月工單數未達12次</t>
    </r>
    <phoneticPr fontId="2" type="noConversion"/>
  </si>
  <si>
    <t>2024年度焚化廠維護管理KPI</t>
    <phoneticPr fontId="2" type="noConversion"/>
  </si>
  <si>
    <t>2024 target</t>
  </si>
  <si>
    <t>2024 target</t>
    <phoneticPr fontId="2" type="noConversion"/>
  </si>
  <si>
    <t>2023 actual</t>
  </si>
  <si>
    <t>2023 actual</t>
    <phoneticPr fontId="2" type="noConversion"/>
  </si>
  <si>
    <t>2.2024KPI目標依照各廠2023 Actual進行調整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</si>
</sst>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_-* #,##0_-;\-* #,##0_-;_-* &quot;-&quot;??_-;_-@_-"/>
    <numFmt numFmtId="177" formatCode="0.0%"/>
    <numFmt numFmtId="178" formatCode="0.0_ ;[Red]\-0.0\ "/>
    <numFmt numFmtId="179" formatCode="0_);[Red]\(0\)"/>
    <numFmt numFmtId="180" formatCode="0.0"/>
    <numFmt numFmtId="181" formatCode="0.0_);[Red]\(0.0\)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B050"/>
      <name val="新細明體"/>
      <family val="1"/>
      <charset val="136"/>
      <scheme val="minor"/>
    </font>
    <font>
      <i/>
      <sz val="12"/>
      <color theme="1"/>
      <name val="新細明體"/>
      <family val="1"/>
      <charset val="136"/>
      <scheme val="minor"/>
    </font>
    <font>
      <sz val="8"/>
      <color indexed="11"/>
      <name val="MS Sans Serif"/>
      <family val="2"/>
      <charset val="136"/>
    </font>
    <font>
      <sz val="10"/>
      <name val="Arial"/>
      <family val="2"/>
    </font>
    <font>
      <sz val="12"/>
      <name val="新細明體"/>
      <family val="1"/>
      <charset val="136"/>
    </font>
    <font>
      <b/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細明體"/>
      <family val="2"/>
      <charset val="136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2"/>
      <charset val="136"/>
    </font>
    <font>
      <u/>
      <sz val="12"/>
      <color theme="10"/>
      <name val="新細明體"/>
      <family val="2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pivotButton="1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9" fontId="0" fillId="0" borderId="0" xfId="2" applyFont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4" fillId="0" borderId="1" xfId="1" applyNumberFormat="1" applyFont="1" applyBorder="1" applyAlignment="1">
      <alignment vertical="top" wrapText="1"/>
    </xf>
    <xf numFmtId="0" fontId="5" fillId="0" borderId="1" xfId="1" applyNumberFormat="1" applyFont="1" applyBorder="1" applyAlignment="1">
      <alignment vertical="top" wrapText="1"/>
    </xf>
    <xf numFmtId="0" fontId="0" fillId="0" borderId="13" xfId="0" applyBorder="1" applyAlignment="1">
      <alignment horizontal="center" vertical="center"/>
    </xf>
    <xf numFmtId="49" fontId="0" fillId="0" borderId="9" xfId="0" applyNumberFormat="1" applyBorder="1" applyAlignment="1">
      <alignment horizontal="left" vertical="center" wrapText="1"/>
    </xf>
    <xf numFmtId="0" fontId="4" fillId="0" borderId="9" xfId="1" applyNumberFormat="1" applyFont="1" applyBorder="1" applyAlignment="1">
      <alignment vertical="top" wrapText="1"/>
    </xf>
    <xf numFmtId="0" fontId="5" fillId="0" borderId="9" xfId="1" applyNumberFormat="1" applyFont="1" applyBorder="1" applyAlignment="1">
      <alignment vertical="top" wrapText="1"/>
    </xf>
    <xf numFmtId="0" fontId="0" fillId="2" borderId="0" xfId="0" applyFill="1">
      <alignment vertical="center"/>
    </xf>
    <xf numFmtId="0" fontId="0" fillId="0" borderId="16" xfId="0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176" fontId="0" fillId="0" borderId="17" xfId="1" applyNumberFormat="1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>
      <alignment vertical="center"/>
    </xf>
    <xf numFmtId="176" fontId="0" fillId="0" borderId="20" xfId="1" applyNumberFormat="1" applyFont="1" applyBorder="1">
      <alignment vertical="center"/>
    </xf>
    <xf numFmtId="0" fontId="0" fillId="0" borderId="22" xfId="0" applyBorder="1" applyAlignment="1">
      <alignment horizontal="center" vertical="center"/>
    </xf>
    <xf numFmtId="9" fontId="0" fillId="0" borderId="23" xfId="2" applyFont="1" applyBorder="1">
      <alignment vertical="center"/>
    </xf>
    <xf numFmtId="9" fontId="0" fillId="0" borderId="6" xfId="2" applyFont="1" applyBorder="1">
      <alignment vertical="center"/>
    </xf>
    <xf numFmtId="0" fontId="7" fillId="0" borderId="0" xfId="0" applyFont="1" applyAlignment="1">
      <alignment horizontal="left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>
      <alignment vertical="center"/>
    </xf>
    <xf numFmtId="0" fontId="0" fillId="2" borderId="26" xfId="0" applyFill="1" applyBorder="1">
      <alignment vertical="center"/>
    </xf>
    <xf numFmtId="176" fontId="0" fillId="2" borderId="29" xfId="1" applyNumberFormat="1" applyFont="1" applyFill="1" applyBorder="1">
      <alignment vertical="center"/>
    </xf>
    <xf numFmtId="0" fontId="0" fillId="2" borderId="21" xfId="0" applyFill="1" applyBorder="1" applyAlignment="1">
      <alignment horizontal="center" vertical="center"/>
    </xf>
    <xf numFmtId="0" fontId="0" fillId="2" borderId="20" xfId="0" applyFill="1" applyBorder="1">
      <alignment vertical="center"/>
    </xf>
    <xf numFmtId="176" fontId="0" fillId="2" borderId="31" xfId="1" applyNumberFormat="1" applyFont="1" applyFill="1" applyBorder="1">
      <alignment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>
      <alignment vertical="center"/>
    </xf>
    <xf numFmtId="0" fontId="0" fillId="4" borderId="17" xfId="0" applyFill="1" applyBorder="1">
      <alignment vertical="center"/>
    </xf>
    <xf numFmtId="176" fontId="0" fillId="4" borderId="32" xfId="1" applyNumberFormat="1" applyFont="1" applyFill="1" applyBorder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20" xfId="0" applyFill="1" applyBorder="1">
      <alignment vertical="center"/>
    </xf>
    <xf numFmtId="176" fontId="0" fillId="4" borderId="31" xfId="1" applyNumberFormat="1" applyFont="1" applyFill="1" applyBorder="1">
      <alignment vertical="center"/>
    </xf>
    <xf numFmtId="43" fontId="0" fillId="0" borderId="32" xfId="1" applyFont="1" applyBorder="1">
      <alignment vertical="center"/>
    </xf>
    <xf numFmtId="43" fontId="0" fillId="0" borderId="31" xfId="1" applyFont="1" applyBorder="1">
      <alignment vertical="center"/>
    </xf>
    <xf numFmtId="9" fontId="0" fillId="0" borderId="19" xfId="2" applyFont="1" applyBorder="1">
      <alignment vertical="center"/>
    </xf>
    <xf numFmtId="9" fontId="0" fillId="0" borderId="17" xfId="2" applyFont="1" applyBorder="1">
      <alignment vertical="center"/>
    </xf>
    <xf numFmtId="9" fontId="0" fillId="0" borderId="32" xfId="2" applyFont="1" applyBorder="1">
      <alignment vertical="center"/>
    </xf>
    <xf numFmtId="9" fontId="0" fillId="0" borderId="0" xfId="2" applyFont="1" applyBorder="1">
      <alignment vertical="center"/>
    </xf>
    <xf numFmtId="9" fontId="0" fillId="0" borderId="20" xfId="2" applyFont="1" applyBorder="1">
      <alignment vertical="center"/>
    </xf>
    <xf numFmtId="9" fontId="0" fillId="0" borderId="31" xfId="2" applyFont="1" applyBorder="1">
      <alignment vertical="center"/>
    </xf>
    <xf numFmtId="0" fontId="0" fillId="0" borderId="35" xfId="0" applyBorder="1" applyAlignment="1">
      <alignment horizontal="center" vertical="center"/>
    </xf>
    <xf numFmtId="9" fontId="0" fillId="0" borderId="36" xfId="2" applyFont="1" applyBorder="1">
      <alignment vertical="center"/>
    </xf>
    <xf numFmtId="9" fontId="0" fillId="0" borderId="34" xfId="2" applyFont="1" applyBorder="1">
      <alignment vertical="center"/>
    </xf>
    <xf numFmtId="9" fontId="0" fillId="0" borderId="37" xfId="2" applyFont="1" applyBorder="1">
      <alignment vertical="center"/>
    </xf>
    <xf numFmtId="177" fontId="0" fillId="0" borderId="1" xfId="2" applyNumberFormat="1" applyFont="1" applyBorder="1" applyAlignment="1">
      <alignment horizontal="right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4" fillId="5" borderId="1" xfId="2" applyFont="1" applyFill="1" applyBorder="1">
      <alignment vertical="center"/>
    </xf>
    <xf numFmtId="38" fontId="0" fillId="5" borderId="1" xfId="1" applyNumberFormat="1" applyFont="1" applyFill="1" applyBorder="1">
      <alignment vertical="center"/>
    </xf>
    <xf numFmtId="38" fontId="4" fillId="5" borderId="1" xfId="1" applyNumberFormat="1" applyFont="1" applyFill="1" applyBorder="1">
      <alignment vertical="center"/>
    </xf>
    <xf numFmtId="9" fontId="0" fillId="5" borderId="1" xfId="2" applyFont="1" applyFill="1" applyBorder="1">
      <alignment vertical="center"/>
    </xf>
    <xf numFmtId="177" fontId="0" fillId="4" borderId="1" xfId="2" applyNumberFormat="1" applyFont="1" applyFill="1" applyBorder="1" applyAlignment="1">
      <alignment horizontal="right" vertical="center"/>
    </xf>
    <xf numFmtId="38" fontId="0" fillId="4" borderId="1" xfId="0" applyNumberFormat="1" applyFill="1" applyBorder="1" applyAlignment="1">
      <alignment horizontal="right" vertical="center"/>
    </xf>
    <xf numFmtId="9" fontId="0" fillId="4" borderId="1" xfId="2" applyFont="1" applyFill="1" applyBorder="1" applyAlignment="1">
      <alignment horizontal="right" vertical="center"/>
    </xf>
    <xf numFmtId="179" fontId="4" fillId="5" borderId="1" xfId="1" applyNumberFormat="1" applyFont="1" applyFill="1" applyBorder="1">
      <alignment vertical="center"/>
    </xf>
    <xf numFmtId="0" fontId="0" fillId="0" borderId="3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0" fillId="0" borderId="1" xfId="1" applyNumberFormat="1" applyFont="1" applyBorder="1">
      <alignment vertical="center"/>
    </xf>
    <xf numFmtId="177" fontId="0" fillId="0" borderId="1" xfId="2" applyNumberFormat="1" applyFont="1" applyBorder="1">
      <alignment vertical="center"/>
    </xf>
    <xf numFmtId="178" fontId="0" fillId="0" borderId="3" xfId="1" applyNumberFormat="1" applyFont="1" applyBorder="1">
      <alignment vertical="center"/>
    </xf>
    <xf numFmtId="49" fontId="0" fillId="0" borderId="3" xfId="0" applyNumberFormat="1" applyBorder="1" applyAlignment="1">
      <alignment horizontal="left" vertical="center" wrapText="1"/>
    </xf>
    <xf numFmtId="0" fontId="4" fillId="0" borderId="3" xfId="1" applyNumberFormat="1" applyFont="1" applyBorder="1" applyAlignment="1">
      <alignment vertical="top" wrapText="1"/>
    </xf>
    <xf numFmtId="9" fontId="0" fillId="0" borderId="17" xfId="0" applyNumberFormat="1" applyBorder="1" applyAlignment="1">
      <alignment horizontal="right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9" xfId="2" applyNumberFormat="1" applyFont="1" applyBorder="1">
      <alignment vertical="center"/>
    </xf>
    <xf numFmtId="9" fontId="0" fillId="0" borderId="9" xfId="2" applyFont="1" applyBorder="1" applyAlignment="1">
      <alignment horizontal="right" vertical="center"/>
    </xf>
    <xf numFmtId="9" fontId="0" fillId="0" borderId="10" xfId="2" applyFont="1" applyBorder="1" applyAlignment="1">
      <alignment horizontal="right" vertical="center"/>
    </xf>
    <xf numFmtId="177" fontId="0" fillId="0" borderId="9" xfId="2" applyNumberFormat="1" applyFont="1" applyBorder="1" applyAlignment="1">
      <alignment horizontal="right" vertical="center"/>
    </xf>
    <xf numFmtId="177" fontId="0" fillId="0" borderId="9" xfId="2" applyNumberFormat="1" applyFont="1" applyBorder="1">
      <alignment vertical="center"/>
    </xf>
    <xf numFmtId="0" fontId="0" fillId="0" borderId="3" xfId="2" applyNumberFormat="1" applyFont="1" applyBorder="1" applyAlignment="1">
      <alignment horizontal="right" vertical="center"/>
    </xf>
    <xf numFmtId="0" fontId="4" fillId="0" borderId="1" xfId="1" applyNumberFormat="1" applyFont="1" applyFill="1" applyBorder="1" applyAlignment="1">
      <alignment vertical="top" wrapText="1"/>
    </xf>
    <xf numFmtId="0" fontId="5" fillId="0" borderId="1" xfId="1" applyNumberFormat="1" applyFont="1" applyFill="1" applyBorder="1" applyAlignment="1">
      <alignment vertical="top" wrapText="1"/>
    </xf>
    <xf numFmtId="0" fontId="14" fillId="0" borderId="0" xfId="0" applyFont="1">
      <alignment vertical="center"/>
    </xf>
    <xf numFmtId="0" fontId="14" fillId="0" borderId="1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>
      <alignment vertical="center"/>
    </xf>
    <xf numFmtId="0" fontId="14" fillId="0" borderId="17" xfId="0" applyFont="1" applyBorder="1">
      <alignment vertical="center"/>
    </xf>
    <xf numFmtId="0" fontId="14" fillId="7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left" vertical="center" wrapText="1"/>
    </xf>
    <xf numFmtId="181" fontId="0" fillId="4" borderId="1" xfId="0" applyNumberFormat="1" applyFill="1" applyBorder="1" applyAlignment="1">
      <alignment horizontal="right" vertical="center"/>
    </xf>
    <xf numFmtId="0" fontId="18" fillId="0" borderId="38" xfId="0" applyFont="1" applyBorder="1" applyAlignment="1">
      <alignment horizontal="center" vertical="center"/>
    </xf>
    <xf numFmtId="0" fontId="5" fillId="0" borderId="40" xfId="1" applyNumberFormat="1" applyFont="1" applyBorder="1" applyAlignment="1">
      <alignment vertical="top" wrapText="1"/>
    </xf>
    <xf numFmtId="0" fontId="19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3" fillId="7" borderId="44" xfId="0" applyFont="1" applyFill="1" applyBorder="1" applyAlignment="1">
      <alignment horizontal="center" vertical="center" wrapText="1"/>
    </xf>
    <xf numFmtId="9" fontId="14" fillId="7" borderId="9" xfId="2" applyFont="1" applyFill="1" applyBorder="1" applyAlignment="1">
      <alignment horizontal="center" vertical="center"/>
    </xf>
    <xf numFmtId="9" fontId="14" fillId="7" borderId="10" xfId="2" applyFont="1" applyFill="1" applyBorder="1" applyAlignment="1">
      <alignment horizontal="center" vertical="center"/>
    </xf>
    <xf numFmtId="177" fontId="0" fillId="0" borderId="0" xfId="2" applyNumberFormat="1" applyFont="1">
      <alignment vertical="center"/>
    </xf>
    <xf numFmtId="0" fontId="0" fillId="0" borderId="45" xfId="0" applyBorder="1" applyAlignment="1">
      <alignment horizontal="right" vertical="center"/>
    </xf>
    <xf numFmtId="177" fontId="0" fillId="0" borderId="40" xfId="2" applyNumberFormat="1" applyFont="1" applyBorder="1" applyAlignment="1">
      <alignment horizontal="right" vertical="center"/>
    </xf>
    <xf numFmtId="0" fontId="0" fillId="0" borderId="40" xfId="0" applyBorder="1" applyAlignment="1">
      <alignment horizontal="right" vertical="center"/>
    </xf>
    <xf numFmtId="177" fontId="0" fillId="0" borderId="46" xfId="2" applyNumberFormat="1" applyFont="1" applyBorder="1" applyAlignment="1">
      <alignment horizontal="right" vertical="center"/>
    </xf>
    <xf numFmtId="0" fontId="0" fillId="0" borderId="4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9" fontId="0" fillId="0" borderId="48" xfId="0" applyNumberFormat="1" applyBorder="1" applyAlignment="1">
      <alignment horizontal="right" vertical="center"/>
    </xf>
    <xf numFmtId="178" fontId="0" fillId="0" borderId="45" xfId="1" applyNumberFormat="1" applyFont="1" applyBorder="1">
      <alignment vertical="center"/>
    </xf>
    <xf numFmtId="177" fontId="0" fillId="0" borderId="40" xfId="2" applyNumberFormat="1" applyFont="1" applyBorder="1">
      <alignment vertical="center"/>
    </xf>
    <xf numFmtId="178" fontId="0" fillId="0" borderId="40" xfId="1" applyNumberFormat="1" applyFont="1" applyBorder="1">
      <alignment vertical="center"/>
    </xf>
    <xf numFmtId="177" fontId="0" fillId="0" borderId="46" xfId="2" applyNumberFormat="1" applyFont="1" applyBorder="1">
      <alignment vertical="center"/>
    </xf>
    <xf numFmtId="0" fontId="4" fillId="0" borderId="45" xfId="1" applyNumberFormat="1" applyFont="1" applyBorder="1" applyAlignment="1">
      <alignment vertical="top" wrapText="1"/>
    </xf>
    <xf numFmtId="0" fontId="4" fillId="0" borderId="40" xfId="1" applyNumberFormat="1" applyFont="1" applyBorder="1" applyAlignment="1">
      <alignment vertical="top" wrapText="1"/>
    </xf>
    <xf numFmtId="0" fontId="4" fillId="0" borderId="40" xfId="1" applyNumberFormat="1" applyFont="1" applyBorder="1" applyAlignment="1">
      <alignment horizontal="left" vertical="center" wrapText="1"/>
    </xf>
    <xf numFmtId="0" fontId="5" fillId="0" borderId="46" xfId="1" applyNumberFormat="1" applyFont="1" applyBorder="1" applyAlignment="1">
      <alignment vertical="top" wrapText="1"/>
    </xf>
    <xf numFmtId="0" fontId="18" fillId="0" borderId="47" xfId="0" applyFont="1" applyBorder="1" applyAlignment="1">
      <alignment horizontal="center" vertical="center"/>
    </xf>
    <xf numFmtId="0" fontId="12" fillId="0" borderId="1" xfId="1" applyNumberFormat="1" applyFont="1" applyBorder="1" applyAlignment="1">
      <alignment vertical="top" wrapText="1"/>
    </xf>
    <xf numFmtId="177" fontId="0" fillId="0" borderId="48" xfId="2" applyNumberFormat="1" applyFont="1" applyBorder="1" applyAlignment="1">
      <alignment horizontal="right" vertical="center"/>
    </xf>
    <xf numFmtId="178" fontId="0" fillId="0" borderId="53" xfId="1" applyNumberFormat="1" applyFont="1" applyBorder="1">
      <alignment vertical="center"/>
    </xf>
    <xf numFmtId="9" fontId="0" fillId="0" borderId="7" xfId="2" applyFont="1" applyBorder="1" applyAlignment="1">
      <alignment horizontal="right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7" xfId="0" applyFont="1" applyBorder="1">
      <alignment vertical="center"/>
    </xf>
    <xf numFmtId="0" fontId="14" fillId="0" borderId="51" xfId="0" applyFont="1" applyBorder="1" applyAlignment="1">
      <alignment horizontal="center" vertical="center"/>
    </xf>
    <xf numFmtId="0" fontId="14" fillId="0" borderId="39" xfId="0" applyFont="1" applyBorder="1">
      <alignment vertical="center"/>
    </xf>
    <xf numFmtId="0" fontId="3" fillId="7" borderId="5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 wrapText="1"/>
    </xf>
    <xf numFmtId="180" fontId="14" fillId="7" borderId="9" xfId="0" applyNumberFormat="1" applyFont="1" applyFill="1" applyBorder="1" applyAlignment="1">
      <alignment horizontal="center" vertical="center"/>
    </xf>
    <xf numFmtId="180" fontId="14" fillId="7" borderId="10" xfId="0" applyNumberFormat="1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0" borderId="9" xfId="0" applyFont="1" applyBorder="1">
      <alignment vertical="center"/>
    </xf>
    <xf numFmtId="0" fontId="18" fillId="3" borderId="24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21" fillId="0" borderId="3" xfId="7" applyBorder="1" applyAlignment="1">
      <alignment horizontal="right" vertical="center"/>
    </xf>
    <xf numFmtId="177" fontId="21" fillId="0" borderId="1" xfId="7" applyNumberFormat="1" applyBorder="1" applyAlignment="1">
      <alignment horizontal="right" vertical="center"/>
    </xf>
    <xf numFmtId="0" fontId="21" fillId="0" borderId="1" xfId="7" applyBorder="1" applyAlignment="1">
      <alignment horizontal="right" vertical="center"/>
    </xf>
    <xf numFmtId="9" fontId="21" fillId="0" borderId="9" xfId="7" applyNumberFormat="1" applyBorder="1" applyAlignment="1">
      <alignment horizontal="right" vertical="center"/>
    </xf>
    <xf numFmtId="0" fontId="21" fillId="0" borderId="40" xfId="7" applyBorder="1" applyAlignment="1">
      <alignment horizontal="right" vertical="center"/>
    </xf>
    <xf numFmtId="177" fontId="21" fillId="0" borderId="46" xfId="7" applyNumberFormat="1" applyBorder="1" applyAlignment="1">
      <alignment horizontal="right" vertical="center"/>
    </xf>
    <xf numFmtId="177" fontId="21" fillId="0" borderId="40" xfId="7" applyNumberFormat="1" applyBorder="1" applyAlignment="1">
      <alignment horizontal="right" vertical="center"/>
    </xf>
    <xf numFmtId="0" fontId="21" fillId="0" borderId="45" xfId="7" applyBorder="1" applyAlignment="1">
      <alignment horizontal="right" vertical="center"/>
    </xf>
    <xf numFmtId="9" fontId="21" fillId="0" borderId="1" xfId="2" applyFont="1" applyFill="1" applyBorder="1">
      <alignment vertical="center"/>
    </xf>
    <xf numFmtId="0" fontId="21" fillId="0" borderId="1" xfId="8" applyFill="1" applyBorder="1">
      <alignment vertical="center"/>
    </xf>
    <xf numFmtId="0" fontId="0" fillId="0" borderId="6" xfId="0" applyBorder="1" applyAlignment="1">
      <alignment horizontal="right" vertical="center"/>
    </xf>
    <xf numFmtId="9" fontId="21" fillId="0" borderId="1" xfId="8" applyNumberFormat="1" applyFill="1" applyBorder="1">
      <alignment vertical="center"/>
    </xf>
    <xf numFmtId="0" fontId="21" fillId="0" borderId="9" xfId="8" applyFill="1" applyBorder="1">
      <alignment vertical="center"/>
    </xf>
    <xf numFmtId="0" fontId="0" fillId="0" borderId="6" xfId="0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5" fillId="6" borderId="0" xfId="0" applyFont="1" applyFill="1">
      <alignment vertical="center"/>
    </xf>
    <xf numFmtId="0" fontId="13" fillId="6" borderId="0" xfId="0" applyFont="1" applyFill="1">
      <alignment vertical="center"/>
    </xf>
    <xf numFmtId="0" fontId="0" fillId="0" borderId="53" xfId="0" applyBorder="1" applyAlignment="1">
      <alignment horizontal="right" vertical="center"/>
    </xf>
    <xf numFmtId="0" fontId="21" fillId="0" borderId="1" xfId="8" applyBorder="1" applyAlignment="1">
      <alignment horizontal="right" vertical="center"/>
    </xf>
    <xf numFmtId="0" fontId="0" fillId="0" borderId="1" xfId="0" applyBorder="1">
      <alignment vertical="center"/>
    </xf>
    <xf numFmtId="0" fontId="21" fillId="0" borderId="3" xfId="8" applyFill="1" applyBorder="1">
      <alignment vertical="center"/>
    </xf>
    <xf numFmtId="9" fontId="21" fillId="0" borderId="3" xfId="2" applyFont="1" applyFill="1" applyBorder="1">
      <alignment vertical="center"/>
    </xf>
    <xf numFmtId="0" fontId="21" fillId="0" borderId="4" xfId="8" applyFill="1" applyBorder="1">
      <alignment vertical="center"/>
    </xf>
    <xf numFmtId="9" fontId="21" fillId="0" borderId="7" xfId="8" applyNumberFormat="1" applyFill="1" applyBorder="1">
      <alignment vertical="center"/>
    </xf>
    <xf numFmtId="0" fontId="21" fillId="0" borderId="7" xfId="8" applyFill="1" applyBorder="1">
      <alignment vertical="center"/>
    </xf>
    <xf numFmtId="9" fontId="21" fillId="0" borderId="9" xfId="2" applyFont="1" applyFill="1" applyBorder="1">
      <alignment vertical="center"/>
    </xf>
    <xf numFmtId="9" fontId="21" fillId="0" borderId="9" xfId="2" applyFont="1" applyBorder="1">
      <alignment vertical="center"/>
    </xf>
    <xf numFmtId="9" fontId="21" fillId="0" borderId="9" xfId="8" applyNumberFormat="1" applyFill="1" applyBorder="1">
      <alignment vertical="center"/>
    </xf>
    <xf numFmtId="9" fontId="21" fillId="0" borderId="10" xfId="8" applyNumberFormat="1" applyFill="1" applyBorder="1">
      <alignment vertical="center"/>
    </xf>
  </cellXfs>
  <cellStyles count="9">
    <cellStyle name="Hyperlink" xfId="7" xr:uid="{00000000-000B-0000-0000-000008000000}"/>
    <cellStyle name="一般" xfId="0" builtinId="0"/>
    <cellStyle name="一般 2" xfId="3" xr:uid="{14686427-28A0-4EA1-8A66-1660C44194E5}"/>
    <cellStyle name="一般 3" xfId="4" xr:uid="{AABD6859-07B4-452F-B57E-CF63A80E91CD}"/>
    <cellStyle name="一般 4" xfId="5" xr:uid="{E563EC58-A3D1-4667-B6A5-E846E46000F7}"/>
    <cellStyle name="一般 4 2" xfId="6" xr:uid="{50D8D719-6AC0-447C-BF78-C8156862E78E}"/>
    <cellStyle name="千分位" xfId="1" builtinId="3"/>
    <cellStyle name="百分比" xfId="2" builtinId="5"/>
    <cellStyle name="超連結" xfId="8" builtinId="8"/>
  </cellStyles>
  <dxfs count="74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</font>
    </dxf>
    <dxf>
      <font>
        <b val="0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7C0C5B-DEC9-4FBB-934E-28E983D03A5B}" name="表格5" displayName="表格5" ref="A1:J15" totalsRowShown="0" headerRowDxfId="73" headerRowBorderDxfId="72" tableBorderDxfId="71">
  <tableColumns count="10">
    <tableColumn id="1" xr3:uid="{EE86EE5D-E2BE-471E-84FA-B6C9549E3C02}" name="預防矯正改善工單數量" dataDxfId="70"/>
    <tableColumn id="2" xr3:uid="{98FB84B2-FBBB-4827-9D5F-B88E82AB6218}" name="宜蘭" dataDxfId="69"/>
    <tableColumn id="3" xr3:uid="{635C5FC3-85D5-45A0-A0E1-835AF7B2FB18}" name="八里" dataDxfId="68"/>
    <tableColumn id="4" xr3:uid="{14C31B37-82DE-47B3-848E-4134657F5C0D}" name="新店" dataDxfId="67"/>
    <tableColumn id="5" xr3:uid="{7349DCBB-6C87-423B-A201-7880A729388C}" name="樹林" dataDxfId="66"/>
    <tableColumn id="6" xr3:uid="{130EB0BA-3A5F-4474-97F8-9F32A8B5DED9}" name="台中" dataDxfId="65"/>
    <tableColumn id="7" xr3:uid="{67A702A0-9449-428A-A019-3CF6F495FE7D}" name="鹿草" dataDxfId="64"/>
    <tableColumn id="8" xr3:uid="{22B5BA34-E4BC-41BE-A39D-33E7675CF692}" name="嘉義" dataDxfId="63"/>
    <tableColumn id="9" xr3:uid="{D533AECC-AA70-4A17-93D7-1104DE939669}" name="永康" dataDxfId="62"/>
    <tableColumn id="10" xr3:uid="{BDC7AA9E-3269-4228-93C1-0F5FCC718A57}" name="仁武" dataDxfId="6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:x:/g/personal/a90005_tahoho_com_tw/EYc--Y-AgMFOhog9-JHhYuEB3aH6rdt2tsEWACjIcj0URg?e=88ySFi&amp;nav=MTVfezAwMDAwMDAwLTAwMDEtMDAwMC0wMDAwLTAwMDAwMDAwMDAwMH0" TargetMode="External"/><Relationship Id="rId21" Type="http://schemas.openxmlformats.org/officeDocument/2006/relationships/hyperlink" Target="../../../../:x:/g/personal/a90005_tahoho_com_tw/EYedXPVqLRtLjTV89Oo4PLEBpwmkOBtpObQ7Mdu3Pn-nlw?e=Uj9tYZ&amp;nav=MTVfezAwMDAwMDAwLTAwMDEtMDAwMC0wMDAwLTAwMDAwMDAwMDAwMH0" TargetMode="External"/><Relationship Id="rId42" Type="http://schemas.openxmlformats.org/officeDocument/2006/relationships/hyperlink" Target="../../../../:x:/g/personal/a90005_tahoho_com_tw/EZ6f7sib0yJLqgUUF8VVKisB0N_fhnQqCXQFZYZ-bWmqUg?e=YApsng&amp;nav=MTVfezAwMDAwMDAwLTAwMDEtMDAwMC0wNTAwLTAwMDAwMDAwMDAwMH0" TargetMode="External"/><Relationship Id="rId47" Type="http://schemas.openxmlformats.org/officeDocument/2006/relationships/hyperlink" Target="../../../../:x:/g/personal/a90005_tahoho_com_tw/EZ6f7sib0yJLqgUUF8VVKisB0N_fhnQqCXQFZYZ-bWmqUg?e=0fCrCC&amp;nav=MTVfezAwMDAwMDAwLTAwMDEtMDAwMC0xMzAwLTAwMDAwMDAwMDAwMH0" TargetMode="External"/><Relationship Id="rId63" Type="http://schemas.openxmlformats.org/officeDocument/2006/relationships/hyperlink" Target="https://tahotw-my.sharepoint.com/:x:/g/personal/a90005_tahoho_com_tw/EdJQapGDMmNEpJwfDE09xy0BMNYk7YjakshL-75uibDtHA?e=dLDKcj&amp;nav=MTVfezAwMDAwMDAwLTAwMDEtMDAwMC0wMDAwLTAwMDAwMDAwMDAwMH0" TargetMode="External"/><Relationship Id="rId68" Type="http://schemas.openxmlformats.org/officeDocument/2006/relationships/hyperlink" Target="https://tahotw-my.sharepoint.com/:x:/g/personal/a90005_tahoho_com_tw/EbsvitQYsGJGtwhqptxTEt4BYA9ufoDNzXfbczpD92ZTag?e=ovvy6e&amp;nav=MTVfezAwMDAwMDAwLTAwMDEtMDAwMC0wRjAwLTAwMDAwMDAwMDAwMH0" TargetMode="External"/><Relationship Id="rId7" Type="http://schemas.openxmlformats.org/officeDocument/2006/relationships/hyperlink" Target="../../../../:x:/g/personal/a90005_tahoho_com_tw/EV9GqyGCbdhOhUE5GwuPzPoBNvasw0zbnkGSod30BvfRZQ?e=b7YAgC&amp;nav=MTVfezAwMDAwMDAwLTAwMDEtMDAwMC0wMDAwLTAwMDAwMDAwMDAwMH0" TargetMode="External"/><Relationship Id="rId71" Type="http://schemas.openxmlformats.org/officeDocument/2006/relationships/printerSettings" Target="../printerSettings/printerSettings5.bin"/><Relationship Id="rId2" Type="http://schemas.openxmlformats.org/officeDocument/2006/relationships/hyperlink" Target="../../../../:x:/g/personal/a90005_tahoho_com_tw/EV9GqyGCbdhOhUE5GwuPzPoBNvasw0zbnkGSod30BvfRZQ?e=iUTwBp&amp;nav=MTVfezAwMDAwMDAwLTAwMDEtMDAwMC0wRjAwLTAwMDAwMDAwMDAwMH0" TargetMode="External"/><Relationship Id="rId16" Type="http://schemas.openxmlformats.org/officeDocument/2006/relationships/hyperlink" Target="../../../../:x:/g/personal/a90005_tahoho_com_tw/EVMfOV7BBsVLtj0TiBxgfHoBVaqA2HpqPyMGaYjrxiMZcg?e=f9A9CN&amp;nav=MTVfezAwMDAwMDAwLTAwMDEtMDAwMC0wNDAwLTAwMDAwMDAwMDAwMH0" TargetMode="External"/><Relationship Id="rId29" Type="http://schemas.openxmlformats.org/officeDocument/2006/relationships/hyperlink" Target="../../../../:x:/g/personal/a90005_tahoho_com_tw/EYc--Y-AgMFOhog9-JHhYuEB3aH6rdt2tsEWACjIcj0URg?e=wq2iCF&amp;nav=MTVfezAwMDAwMDAwLTAwMDEtMDAwMC0wNTAwLTAwMDAwMDAwMDAwMH0" TargetMode="External"/><Relationship Id="rId11" Type="http://schemas.openxmlformats.org/officeDocument/2006/relationships/hyperlink" Target="../../../../:x:/g/personal/a90005_tahoho_com_tw/EVMfOV7BBsVLtj0TiBxgfHoBVaqA2HpqPyMGaYjrxiMZcg?e=xnPVOH&amp;nav=MTVfezAwMDAwMDAwLTAwMDEtMDAwMC0wMDAwLTAwMDAwMDAwMDAwMH0" TargetMode="External"/><Relationship Id="rId24" Type="http://schemas.openxmlformats.org/officeDocument/2006/relationships/hyperlink" Target="../../../../:x:/g/personal/a90005_tahoho_com_tw/EYedXPVqLRtLjTV89Oo4PLEBpwmkOBtpObQ7Mdu3Pn-nlw?e=xqDjvY&amp;nav=MTVfezAwMDAwMDAwLTAwMDEtMDAwMC0wNDAwLTAwMDAwMDAwMDAwMH0" TargetMode="External"/><Relationship Id="rId32" Type="http://schemas.openxmlformats.org/officeDocument/2006/relationships/hyperlink" Target="../../../../:x:/g/personal/a90005_tahoho_com_tw/EYc--Y-AgMFOhog9-JHhYuEB3aH6rdt2tsEWACjIcj0URg?e=OtBe1T&amp;nav=MTVfezAwMDAwMDAwLTAwMDEtMDAwMC0wNDAwLTAwMDAwMDAwMDAwMH0" TargetMode="External"/><Relationship Id="rId37" Type="http://schemas.openxmlformats.org/officeDocument/2006/relationships/hyperlink" Target="../../../../:x:/g/personal/a90005_tahoho_com_tw/EXECLMvYCK1MiDb7_Qyz5pkBFTF-N7Fzus_5XuY2-JSxQg?e=1tvqC6&amp;nav=MTVfezAwMDAwMDAwLTAwMDEtMDAwMC0wMDAwLTAwMDAwMDAwMDAwMH0" TargetMode="External"/><Relationship Id="rId40" Type="http://schemas.openxmlformats.org/officeDocument/2006/relationships/hyperlink" Target="../../../../:x:/g/personal/a90005_tahoho_com_tw/EXECLMvYCK1MiDb7_Qyz5pkBFTF-N7Fzus_5XuY2-JSxQg?e=bY3SUZ&amp;nav=MTVfezAwMDAwMDAwLTAwMDEtMDAwMC0xNDAwLTAwMDAwMDAwMDAwMH0" TargetMode="External"/><Relationship Id="rId45" Type="http://schemas.openxmlformats.org/officeDocument/2006/relationships/hyperlink" Target="../../../../:x:/g/personal/a90005_tahoho_com_tw/EZ6f7sib0yJLqgUUF8VVKisB0N_fhnQqCXQFZYZ-bWmqUg?e=NDiKZa&amp;nav=MTVfezAwMDAwMDAwLTAwMDEtMDAwMC0wMDAwLTAwMDAwMDAwMDAwMH0" TargetMode="External"/><Relationship Id="rId53" Type="http://schemas.openxmlformats.org/officeDocument/2006/relationships/hyperlink" Target="../../../../:x:/g/personal/a90005_tahoho_com_tw/EZ6ZtitkuLVPlqGZFP1F66wBOVHHztqeggjFJwnXt9jQTQ?e=VbZhTZ&amp;nav=MTVfezAwMDAwMDAwLTAwMDEtMDAwMC0wNTAwLTAwMDAwMDAwMDAwMH0" TargetMode="External"/><Relationship Id="rId58" Type="http://schemas.openxmlformats.org/officeDocument/2006/relationships/hyperlink" Target="https://tahotw-my.sharepoint.com/:x:/g/personal/a90005_tahoho_com_tw/EV9GCbx_-SBOiiN26-Qto6gBEyX4Itge42i2fUtHRXXENw?e=IB9pHI&amp;nav=MTVfezAwMDAwMDAwLTAwMDEtMDAwMC0wMDAwLTAwMDAwMDAwMDAwMH0" TargetMode="External"/><Relationship Id="rId66" Type="http://schemas.openxmlformats.org/officeDocument/2006/relationships/hyperlink" Target="https://tahotw-my.sharepoint.com/:x:/g/personal/a90005_tahoho_com_tw/EdJQapGDMmNEpJwfDE09xy0BMNYk7YjakshL-75uibDtHA?e=dLDKcj&amp;nav=MTVfezAwMDAwMDAwLTAwMDEtMDAwMC0wMDAwLTAwMDAwMDAwMDAwMH0" TargetMode="External"/><Relationship Id="rId5" Type="http://schemas.openxmlformats.org/officeDocument/2006/relationships/hyperlink" Target="../../../../:x:/g/personal/a90005_tahoho_com_tw/EV9GqyGCbdhOhUE5GwuPzPoBNvasw0zbnkGSod30BvfRZQ?e=b7YAgC&amp;nav=MTVfezAwMDAwMDAwLTAwMDEtMDAwMC0wMDAwLTAwMDAwMDAwMDAwMH0" TargetMode="External"/><Relationship Id="rId61" Type="http://schemas.openxmlformats.org/officeDocument/2006/relationships/hyperlink" Target="https://tahotw-my.sharepoint.com/:x:/g/personal/a90005_tahoho_com_tw/EV9GCbx_-SBOiiN26-Qto6gBEyX4Itge42i2fUtHRXXENw?e=v1FwTq&amp;nav=MTVfezAwMDAwMDAwLTAwMDEtMDAwMC0xMzAwLTAwMDAwMDAwMDAwMH0" TargetMode="External"/><Relationship Id="rId19" Type="http://schemas.openxmlformats.org/officeDocument/2006/relationships/hyperlink" Target="../../../../:x:/g/personal/a90005_tahoho_com_tw/EYedXPVqLRtLjTV89Oo4PLEBpwmkOBtpObQ7Mdu3Pn-nlw?e=Uj9tYZ&amp;nav=MTVfezAwMDAwMDAwLTAwMDEtMDAwMC0wMDAwLTAwMDAwMDAwMDAwMH0" TargetMode="External"/><Relationship Id="rId14" Type="http://schemas.openxmlformats.org/officeDocument/2006/relationships/hyperlink" Target="../../../../:x:/g/personal/a90005_tahoho_com_tw/EVMfOV7BBsVLtj0TiBxgfHoBVaqA2HpqPyMGaYjrxiMZcg?e=nBNh0M&amp;nav=MTVfezAwMDAwMDAwLTAwMDEtMDAwMC0xMzAwLTAwMDAwMDAwMDAwMH0" TargetMode="External"/><Relationship Id="rId22" Type="http://schemas.openxmlformats.org/officeDocument/2006/relationships/hyperlink" Target="../../../../:x:/g/personal/a90005_tahoho_com_tw/EYedXPVqLRtLjTV89Oo4PLEBpwmkOBtpObQ7Mdu3Pn-nlw?e=ARop1V&amp;nav=MTVfezAwMDAwMDAwLTAwMDEtMDAwMC0wRjAwLTAwMDAwMDAwMDAwMH0" TargetMode="External"/><Relationship Id="rId27" Type="http://schemas.openxmlformats.org/officeDocument/2006/relationships/hyperlink" Target="../../../../:x:/g/personal/a90005_tahoho_com_tw/EYc--Y-AgMFOhog9-JHhYuEB3aH6rdt2tsEWACjIcj0URg?e=88ySFi&amp;nav=MTVfezAwMDAwMDAwLTAwMDEtMDAwMC0wMDAwLTAwMDAwMDAwMDAwMH0" TargetMode="External"/><Relationship Id="rId30" Type="http://schemas.openxmlformats.org/officeDocument/2006/relationships/hyperlink" Target="../../../../:x:/g/personal/a90005_tahoho_com_tw/EYc--Y-AgMFOhog9-JHhYuEB3aH6rdt2tsEWACjIcj0URg?e=XLez0h&amp;nav=MTVfezAwMDAwMDAwLTAwMDEtMDAwMC0wRjAwLTAwMDAwMDAwMDAwMH0" TargetMode="External"/><Relationship Id="rId35" Type="http://schemas.openxmlformats.org/officeDocument/2006/relationships/hyperlink" Target="../../../../:x:/g/personal/a90005_tahoho_com_tw/EXECLMvYCK1MiDb7_Qyz5pkBFTF-N7Fzus_5XuY2-JSxQg?e=G46kkW&amp;nav=MTVfezAwMDAwMDAwLTAwMDEtMDAwMC0wRjAwLTAwMDAwMDAwMDAwMH0" TargetMode="External"/><Relationship Id="rId43" Type="http://schemas.openxmlformats.org/officeDocument/2006/relationships/hyperlink" Target="../../../../:x:/g/personal/a90005_tahoho_com_tw/EZ6f7sib0yJLqgUUF8VVKisB0N_fhnQqCXQFZYZ-bWmqUg?e=NDiKZa&amp;nav=MTVfezAwMDAwMDAwLTAwMDEtMDAwMC0wMDAwLTAwMDAwMDAwMDAwMH0" TargetMode="External"/><Relationship Id="rId48" Type="http://schemas.openxmlformats.org/officeDocument/2006/relationships/hyperlink" Target="../../../../:x:/g/personal/a90005_tahoho_com_tw/EZ6f7sib0yJLqgUUF8VVKisB0N_fhnQqCXQFZYZ-bWmqUg?e=doX39y&amp;nav=MTVfezAwMDAwMDAwLTAwMDEtMDAwMC0wNDAwLTAwMDAwMDAwMDAwMH0" TargetMode="External"/><Relationship Id="rId56" Type="http://schemas.openxmlformats.org/officeDocument/2006/relationships/hyperlink" Target="https://tahotw-my.sharepoint.com/:x:/g/personal/a90005_tahoho_com_tw/EV9GCbx_-SBOiiN26-Qto6gBEyX4Itge42i2fUtHRXXENw?e=qMLoBy&amp;nav=MTVfezAwMDAwMDAwLTAwMDEtMDAwMC0wNTAwLTAwMDAwMDAwMDAwMH0" TargetMode="External"/><Relationship Id="rId64" Type="http://schemas.openxmlformats.org/officeDocument/2006/relationships/hyperlink" Target="https://tahotw-my.sharepoint.com/:x:/g/personal/a90005_tahoho_com_tw/EdJQapGDMmNEpJwfDE09xy0BMNYk7YjakshL-75uibDtHA?e=dLDKcj&amp;nav=MTVfezAwMDAwMDAwLTAwMDEtMDAwMC0wMDAwLTAwMDAwMDAwMDAwMH0" TargetMode="External"/><Relationship Id="rId69" Type="http://schemas.openxmlformats.org/officeDocument/2006/relationships/hyperlink" Target="https://tahotw-my.sharepoint.com/:x:/g/personal/a90005_tahoho_com_tw/EbsvitQYsGJGtwhqptxTEt4BYA9ufoDNzXfbczpD92ZTag?e=eBq1HY&amp;nav=MTVfezAwMDAwMDAwLTAwMDEtMDAwMC0xMzAwLTAwMDAwMDAwMDAwMH0" TargetMode="External"/><Relationship Id="rId8" Type="http://schemas.openxmlformats.org/officeDocument/2006/relationships/hyperlink" Target="../../../../:x:/g/personal/a90005_tahoho_com_tw/EV9GqyGCbdhOhUE5GwuPzPoBNvasw0zbnkGSod30BvfRZQ?e=MLX95y&amp;nav=MTVfezAwMDAwMDAwLTAwMDEtMDAwMC0xMzAwLTAwMDAwMDAwMDAwMH0" TargetMode="External"/><Relationship Id="rId51" Type="http://schemas.openxmlformats.org/officeDocument/2006/relationships/hyperlink" Target="../../../../:x:/g/personal/a90005_tahoho_com_tw/EZ6ZtitkuLVPlqGZFP1F66wBOVHHztqeggjFJwnXt9jQTQ?e=rV0qI7&amp;nav=MTVfezAwMDAwMDAwLTAwMDEtMDAwMC0wMDAwLTAwMDAwMDAwMDAwMH0" TargetMode="External"/><Relationship Id="rId3" Type="http://schemas.openxmlformats.org/officeDocument/2006/relationships/hyperlink" Target="../../../../:x:/g/personal/a90005_tahoho_com_tw/EV9GqyGCbdhOhUE5GwuPzPoBNvasw0zbnkGSod30BvfRZQ?e=Vug54V&amp;nav=MTVfezAwMDAwMDAwLTAwMDEtMDAwMC0wNDAwLTAwMDAwMDAwMDAwMH0" TargetMode="External"/><Relationship Id="rId12" Type="http://schemas.openxmlformats.org/officeDocument/2006/relationships/hyperlink" Target="../../../../:x:/g/personal/a90005_tahoho_com_tw/EVMfOV7BBsVLtj0TiBxgfHoBVaqA2HpqPyMGaYjrxiMZcg?e=xnPVOH&amp;nav=MTVfezAwMDAwMDAwLTAwMDEtMDAwMC0wMDAwLTAwMDAwMDAwMDAwMH0" TargetMode="External"/><Relationship Id="rId17" Type="http://schemas.openxmlformats.org/officeDocument/2006/relationships/hyperlink" Target="../../../../:x:/g/personal/a90005_tahoho_com_tw/EYedXPVqLRtLjTV89Oo4PLEBpwmkOBtpObQ7Mdu3Pn-nlw?e=biduBo&amp;nav=MTVfezAwMDAwMDAwLTAwMDEtMDAwMC0xNDAwLTAwMDAwMDAwMDAwMH0" TargetMode="External"/><Relationship Id="rId25" Type="http://schemas.openxmlformats.org/officeDocument/2006/relationships/hyperlink" Target="../../../../:x:/g/personal/a90005_tahoho_com_tw/EYc--Y-AgMFOhog9-JHhYuEB3aH6rdt2tsEWACjIcj0URg?e=88ySFi&amp;nav=MTVfezAwMDAwMDAwLTAwMDEtMDAwMC0wMDAwLTAwMDAwMDAwMDAwMH0" TargetMode="External"/><Relationship Id="rId33" Type="http://schemas.openxmlformats.org/officeDocument/2006/relationships/hyperlink" Target="../../../../:x:/g/personal/a90005_tahoho_com_tw/EXECLMvYCK1MiDb7_Qyz5pkBFTF-N7Fzus_5XuY2-JSxQg?e=FPNgWz&amp;nav=MTVfezAwMDAwMDAwLTAwMDEtMDAwMC0wNDAwLTAwMDAwMDAwMDAwMH0" TargetMode="External"/><Relationship Id="rId38" Type="http://schemas.openxmlformats.org/officeDocument/2006/relationships/hyperlink" Target="../../../../:x:/g/personal/a90005_tahoho_com_tw/EXECLMvYCK1MiDb7_Qyz5pkBFTF-N7Fzus_5XuY2-JSxQg?e=1tvqC6&amp;nav=MTVfezAwMDAwMDAwLTAwMDEtMDAwMC0wMDAwLTAwMDAwMDAwMDAwMH0" TargetMode="External"/><Relationship Id="rId46" Type="http://schemas.openxmlformats.org/officeDocument/2006/relationships/hyperlink" Target="../../../../:x:/g/personal/a90005_tahoho_com_tw/EZ6f7sib0yJLqgUUF8VVKisB0N_fhnQqCXQFZYZ-bWmqUg?e=FLkpkR&amp;nav=MTVfezAwMDAwMDAwLTAwMDEtMDAwMC0wRjAwLTAwMDAwMDAwMDAwMH0" TargetMode="External"/><Relationship Id="rId59" Type="http://schemas.openxmlformats.org/officeDocument/2006/relationships/hyperlink" Target="https://tahotw-my.sharepoint.com/:x:/g/personal/a90005_tahoho_com_tw/EV9GCbx_-SBOiiN26-Qto6gBEyX4Itge42i2fUtHRXXENw?e=IB9pHI&amp;nav=MTVfezAwMDAwMDAwLTAwMDEtMDAwMC0wMDAwLTAwMDAwMDAwMDAwMH0" TargetMode="External"/><Relationship Id="rId67" Type="http://schemas.openxmlformats.org/officeDocument/2006/relationships/hyperlink" Target="https://tahotw-my.sharepoint.com/:x:/g/personal/a90005_tahoho_com_tw/EdJQapGDMmNEpJwfDE09xy0BMNYk7YjakshL-75uibDtHA?e=Oup4e8&amp;nav=MTVfezAwMDAwMDAwLTAwMDEtMDAwMC0xNDAwLTAwMDAwMDAwMDAwMH0" TargetMode="External"/><Relationship Id="rId20" Type="http://schemas.openxmlformats.org/officeDocument/2006/relationships/hyperlink" Target="../../../../:x:/g/personal/a90005_tahoho_com_tw/EYedXPVqLRtLjTV89Oo4PLEBpwmkOBtpObQ7Mdu3Pn-nlw?e=Uj9tYZ&amp;nav=MTVfezAwMDAwMDAwLTAwMDEtMDAwMC0wMDAwLTAwMDAwMDAwMDAwMH0" TargetMode="External"/><Relationship Id="rId41" Type="http://schemas.openxmlformats.org/officeDocument/2006/relationships/hyperlink" Target="../../../../:x:/g/personal/a90005_tahoho_com_tw/EZ6f7sib0yJLqgUUF8VVKisB0N_fhnQqCXQFZYZ-bWmqUg?e=MIUHgn&amp;nav=MTVfezAwMDAwMDAwLTAwMDEtMDAwMC0xNDAwLTAwMDAwMDAwMDAwMH0" TargetMode="External"/><Relationship Id="rId54" Type="http://schemas.openxmlformats.org/officeDocument/2006/relationships/hyperlink" Target="../../../../:x:/g/personal/a90005_tahoho_com_tw/EZ6ZtitkuLVPlqGZFP1F66wBOVHHztqeggjFJwnXt9jQTQ?e=O9mzbj&amp;nav=MTVfezAwMDAwMDAwLTAwMDEtMDAwMC0xNDAwLTAwMDAwMDAwMDAwMH0" TargetMode="External"/><Relationship Id="rId62" Type="http://schemas.openxmlformats.org/officeDocument/2006/relationships/hyperlink" Target="https://tahotw-my.sharepoint.com/:x:/g/personal/a90005_tahoho_com_tw/EV9GCbx_-SBOiiN26-Qto6gBEyX4Itge42i2fUtHRXXENw?e=0S9jZg&amp;nav=MTVfezAwMDAwMDAwLTAwMDEtMDAwMC0wNDAwLTAwMDAwMDAwMDAwMH0" TargetMode="External"/><Relationship Id="rId70" Type="http://schemas.openxmlformats.org/officeDocument/2006/relationships/hyperlink" Target="https://tahotw-my.sharepoint.com/:x:/g/personal/a90005_tahoho_com_tw/EbsvitQYsGJGtwhqptxTEt4BYA9ufoDNzXfbczpD92ZTag?e=76iOyj&amp;nav=MTVfezAwMDAwMDAwLTAwMDEtMDAwMC0wNDAwLTAwMDAwMDAwMDAwMH0" TargetMode="External"/><Relationship Id="rId1" Type="http://schemas.openxmlformats.org/officeDocument/2006/relationships/hyperlink" Target="../../../../:x:/g/personal/a90005_tahoho_com_tw/Ea7_NMEv8HxMpGXpZdtk4a8B9p5TImGuDfE778K-LtgRpw?e=m8UmZC&amp;nav=MTVfezAwMDAwMDAwLTAwMDEtMDAwMC0xNDAwLTAwMDAwMDAwMDAwMH0" TargetMode="External"/><Relationship Id="rId6" Type="http://schemas.openxmlformats.org/officeDocument/2006/relationships/hyperlink" Target="../../../../:x:/g/personal/a90005_tahoho_com_tw/EV9GqyGCbdhOhUE5GwuPzPoBNvasw0zbnkGSod30BvfRZQ?e=b7YAgC&amp;nav=MTVfezAwMDAwMDAwLTAwMDEtMDAwMC0wMDAwLTAwMDAwMDAwMDAwMH0" TargetMode="External"/><Relationship Id="rId15" Type="http://schemas.openxmlformats.org/officeDocument/2006/relationships/hyperlink" Target="../../../../:x:/g/personal/a90005_tahoho_com_tw/EVMfOV7BBsVLtj0TiBxgfHoBVaqA2HpqPyMGaYjrxiMZcg?e=XynDbe&amp;nav=MTVfezAwMDAwMDAwLTAwMDEtMDAwMC0wRjAwLTAwMDAwMDAwMDAwMH0" TargetMode="External"/><Relationship Id="rId23" Type="http://schemas.openxmlformats.org/officeDocument/2006/relationships/hyperlink" Target="../../../../:x:/g/personal/a90005_tahoho_com_tw/EYedXPVqLRtLjTV89Oo4PLEBpwmkOBtpObQ7Mdu3Pn-nlw?e=ORYMSo&amp;nav=MTVfezAwMDAwMDAwLTAwMDEtMDAwMC0xMzAwLTAwMDAwMDAwMDAwMH0" TargetMode="External"/><Relationship Id="rId28" Type="http://schemas.openxmlformats.org/officeDocument/2006/relationships/hyperlink" Target="../../../../:x:/g/personal/a90005_tahoho_com_tw/EYc--Y-AgMFOhog9-JHhYuEB3aH6rdt2tsEWACjIcj0URg?e=dTpz0Y&amp;nav=MTVfezAwMDAwMDAwLTAwMDEtMDAwMC0xNDAwLTAwMDAwMDAwMDAwMH0" TargetMode="External"/><Relationship Id="rId36" Type="http://schemas.openxmlformats.org/officeDocument/2006/relationships/hyperlink" Target="../../../../:x:/g/personal/a90005_tahoho_com_tw/EXECLMvYCK1MiDb7_Qyz5pkBFTF-N7Fzus_5XuY2-JSxQg?e=1tvqC6&amp;nav=MTVfezAwMDAwMDAwLTAwMDEtMDAwMC0wMDAwLTAwMDAwMDAwMDAwMH0" TargetMode="External"/><Relationship Id="rId49" Type="http://schemas.openxmlformats.org/officeDocument/2006/relationships/hyperlink" Target="../../../../:x:/g/personal/a90005_tahoho_com_tw/EZ6ZtitkuLVPlqGZFP1F66wBOVHHztqeggjFJwnXt9jQTQ?e=rV0qI7&amp;nav=MTVfezAwMDAwMDAwLTAwMDEtMDAwMC0wMDAwLTAwMDAwMDAwMDAwMH0" TargetMode="External"/><Relationship Id="rId57" Type="http://schemas.openxmlformats.org/officeDocument/2006/relationships/hyperlink" Target="https://tahotw-my.sharepoint.com/:x:/g/personal/a90005_tahoho_com_tw/EV9GCbx_-SBOiiN26-Qto6gBEyX4Itge42i2fUtHRXXENw?e=IB9pHI&amp;nav=MTVfezAwMDAwMDAwLTAwMDEtMDAwMC0wMDAwLTAwMDAwMDAwMDAwMH0" TargetMode="External"/><Relationship Id="rId10" Type="http://schemas.openxmlformats.org/officeDocument/2006/relationships/hyperlink" Target="../../../../:x:/g/personal/a90005_tahoho_com_tw/EVMfOV7BBsVLtj0TiBxgfHoBVaqA2HpqPyMGaYjrxiMZcg?e=RdLLY7&amp;nav=MTVfezAwMDAwMDAwLTAwMDEtMDAwMC0wNTAwLTAwMDAwMDAwMDAwMH0" TargetMode="External"/><Relationship Id="rId31" Type="http://schemas.openxmlformats.org/officeDocument/2006/relationships/hyperlink" Target="../../../../:x:/g/personal/a90005_tahoho_com_tw/EYc--Y-AgMFOhog9-JHhYuEB3aH6rdt2tsEWACjIcj0URg?e=n2NH0t&amp;nav=MTVfezAwMDAwMDAwLTAwMDEtMDAwMC0xMzAwLTAwMDAwMDAwMDAwMH0" TargetMode="External"/><Relationship Id="rId44" Type="http://schemas.openxmlformats.org/officeDocument/2006/relationships/hyperlink" Target="../../../../:x:/g/personal/a90005_tahoho_com_tw/EZ6f7sib0yJLqgUUF8VVKisB0N_fhnQqCXQFZYZ-bWmqUg?e=NDiKZa&amp;nav=MTVfezAwMDAwMDAwLTAwMDEtMDAwMC0wMDAwLTAwMDAwMDAwMDAwMH0" TargetMode="External"/><Relationship Id="rId52" Type="http://schemas.openxmlformats.org/officeDocument/2006/relationships/hyperlink" Target="../../../../:x:/g/personal/a90005_tahoho_com_tw/EZ6ZtitkuLVPlqGZFP1F66wBOVHHztqeggjFJwnXt9jQTQ?e=hrTNuP&amp;nav=MTVfezAwMDAwMDAwLTAwMDEtMDAwMC0wNDAwLTAwMDAwMDAwMDAwMH0" TargetMode="External"/><Relationship Id="rId60" Type="http://schemas.openxmlformats.org/officeDocument/2006/relationships/hyperlink" Target="https://tahotw-my.sharepoint.com/:x:/g/personal/a90005_tahoho_com_tw/EV9GCbx_-SBOiiN26-Qto6gBEyX4Itge42i2fUtHRXXENw?e=CR6PaR&amp;nav=MTVfezAwMDAwMDAwLTAwMDEtMDAwMC0wRjAwLTAwMDAwMDAwMDAwMH0" TargetMode="External"/><Relationship Id="rId65" Type="http://schemas.openxmlformats.org/officeDocument/2006/relationships/hyperlink" Target="https://tahotw-my.sharepoint.com/:x:/g/personal/a90005_tahoho_com_tw/EdJQapGDMmNEpJwfDE09xy0BMNYk7YjakshL-75uibDtHA?e=v52mND&amp;nav=MTVfezAwMDAwMDAwLTAwMDEtMDAwMC0wNTAwLTAwMDAwMDAwMDAwMH0" TargetMode="External"/><Relationship Id="rId4" Type="http://schemas.openxmlformats.org/officeDocument/2006/relationships/hyperlink" Target="../../../../:x:/g/personal/a90005_tahoho_com_tw/EV9GqyGCbdhOhUE5GwuPzPoBNvasw0zbnkGSod30BvfRZQ?e=qKojX2&amp;nav=MTVfezAwMDAwMDAwLTAwMDEtMDAwMC0wNTAwLTAwMDAwMDAwMDAwMH0" TargetMode="External"/><Relationship Id="rId9" Type="http://schemas.openxmlformats.org/officeDocument/2006/relationships/hyperlink" Target="../../../../:x:/g/personal/a90005_tahoho_com_tw/EVMfOV7BBsVLtj0TiBxgfHoBVaqA2HpqPyMGaYjrxiMZcg?e=iGdygd&amp;nav=MTVfezAwMDAwMDAwLTAwMDEtMDAwMC0xNDAwLTAwMDAwMDAwMDAwMH0" TargetMode="External"/><Relationship Id="rId13" Type="http://schemas.openxmlformats.org/officeDocument/2006/relationships/hyperlink" Target="../../../../:x:/g/personal/a90005_tahoho_com_tw/EVMfOV7BBsVLtj0TiBxgfHoBVaqA2HpqPyMGaYjrxiMZcg?e=xnPVOH&amp;nav=MTVfezAwMDAwMDAwLTAwMDEtMDAwMC0wMDAwLTAwMDAwMDAwMDAwMH0" TargetMode="External"/><Relationship Id="rId18" Type="http://schemas.openxmlformats.org/officeDocument/2006/relationships/hyperlink" Target="../../../../:x:/g/personal/a90005_tahoho_com_tw/EYedXPVqLRtLjTV89Oo4PLEBpwmkOBtpObQ7Mdu3Pn-nlw?e=VeBwa0&amp;nav=MTVfezAwMDAwMDAwLTAwMDEtMDAwMC0wNTAwLTAwMDAwMDAwMDAwMH0" TargetMode="External"/><Relationship Id="rId39" Type="http://schemas.openxmlformats.org/officeDocument/2006/relationships/hyperlink" Target="../../../../:x:/g/personal/a90005_tahoho_com_tw/EXECLMvYCK1MiDb7_Qyz5pkBFTF-N7Fzus_5XuY2-JSxQg?e=fiiO60&amp;nav=MTVfezAwMDAwMDAwLTAwMDEtMDAwMC0wNTAwLTAwMDAwMDAwMDAwMH0" TargetMode="External"/><Relationship Id="rId34" Type="http://schemas.openxmlformats.org/officeDocument/2006/relationships/hyperlink" Target="../../../../:x:/g/personal/a90005_tahoho_com_tw/EXECLMvYCK1MiDb7_Qyz5pkBFTF-N7Fzus_5XuY2-JSxQg?e=9CKRSJ&amp;nav=MTVfezAwMDAwMDAwLTAwMDEtMDAwMC0xMzAwLTAwMDAwMDAwMDAwMH0" TargetMode="External"/><Relationship Id="rId50" Type="http://schemas.openxmlformats.org/officeDocument/2006/relationships/hyperlink" Target="../../../../:x:/g/personal/a90005_tahoho_com_tw/EZ6ZtitkuLVPlqGZFP1F66wBOVHHztqeggjFJwnXt9jQTQ?e=rV0qI7&amp;nav=MTVfezAwMDAwMDAwLTAwMDEtMDAwMC0wMDAwLTAwMDAwMDAwMDAwMH0" TargetMode="External"/><Relationship Id="rId55" Type="http://schemas.openxmlformats.org/officeDocument/2006/relationships/hyperlink" Target="https://tahotw-my.sharepoint.com/:x:/g/personal/a90005_tahoho_com_tw/EV9GCbx_-SBOiiN26-Qto6gBEyX4Itge42i2fUtHRXXENw?e=MvHhf9&amp;nav=MTVfezAwMDAwMDAwLTAwMDEtMDAwMC0xNDAwLTAwMDAwMDAwMDAwMH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0679-BBB6-47E3-8EFB-AA93573B10EC}">
  <dimension ref="A1:V17"/>
  <sheetViews>
    <sheetView zoomScale="86" zoomScaleNormal="86" workbookViewId="0">
      <selection activeCell="J14" sqref="J14"/>
    </sheetView>
  </sheetViews>
  <sheetFormatPr defaultRowHeight="17"/>
  <cols>
    <col min="1" max="1" width="16.08984375" customWidth="1"/>
    <col min="2" max="2" width="43.08984375" customWidth="1"/>
    <col min="3" max="3" width="6.36328125" style="1" bestFit="1" customWidth="1"/>
    <col min="4" max="4" width="13.90625" bestFit="1" customWidth="1"/>
    <col min="5" max="22" width="9.08984375" customWidth="1"/>
  </cols>
  <sheetData>
    <row r="1" spans="1:22">
      <c r="A1" t="s">
        <v>94</v>
      </c>
    </row>
    <row r="2" spans="1:22">
      <c r="E2" s="164" t="s">
        <v>0</v>
      </c>
      <c r="F2" s="164"/>
      <c r="G2" s="164" t="s">
        <v>1</v>
      </c>
      <c r="H2" s="164"/>
      <c r="I2" s="164" t="s">
        <v>2</v>
      </c>
      <c r="J2" s="164"/>
      <c r="K2" s="164" t="s">
        <v>3</v>
      </c>
      <c r="L2" s="164"/>
      <c r="M2" s="164" t="s">
        <v>4</v>
      </c>
      <c r="N2" s="164"/>
      <c r="O2" s="164" t="s">
        <v>5</v>
      </c>
      <c r="P2" s="164"/>
      <c r="Q2" s="164" t="s">
        <v>6</v>
      </c>
      <c r="R2" s="164"/>
      <c r="S2" s="164" t="s">
        <v>7</v>
      </c>
      <c r="T2" s="164"/>
      <c r="U2" s="163" t="s">
        <v>8</v>
      </c>
      <c r="V2" s="164"/>
    </row>
    <row r="3" spans="1:22" s="85" customFormat="1" ht="34">
      <c r="A3" s="66" t="s">
        <v>9</v>
      </c>
      <c r="B3" s="66" t="s">
        <v>10</v>
      </c>
      <c r="C3" s="66" t="s">
        <v>11</v>
      </c>
      <c r="D3" s="66" t="s">
        <v>12</v>
      </c>
      <c r="E3" s="83" t="s">
        <v>96</v>
      </c>
      <c r="F3" s="84" t="s">
        <v>98</v>
      </c>
      <c r="G3" s="83" t="s">
        <v>95</v>
      </c>
      <c r="H3" s="84" t="s">
        <v>97</v>
      </c>
      <c r="I3" s="83" t="s">
        <v>95</v>
      </c>
      <c r="J3" s="84" t="s">
        <v>97</v>
      </c>
      <c r="K3" s="83" t="s">
        <v>95</v>
      </c>
      <c r="L3" s="84" t="s">
        <v>97</v>
      </c>
      <c r="M3" s="83" t="s">
        <v>95</v>
      </c>
      <c r="N3" s="84" t="s">
        <v>97</v>
      </c>
      <c r="O3" s="83" t="s">
        <v>95</v>
      </c>
      <c r="P3" s="84" t="s">
        <v>97</v>
      </c>
      <c r="Q3" s="83" t="s">
        <v>95</v>
      </c>
      <c r="R3" s="84" t="s">
        <v>97</v>
      </c>
      <c r="S3" s="83" t="s">
        <v>95</v>
      </c>
      <c r="T3" s="84" t="s">
        <v>97</v>
      </c>
      <c r="U3" s="83" t="s">
        <v>95</v>
      </c>
      <c r="V3" s="84" t="s">
        <v>97</v>
      </c>
    </row>
    <row r="4" spans="1:22" ht="50.15" customHeight="1">
      <c r="A4" s="64" t="s">
        <v>13</v>
      </c>
      <c r="B4" s="65" t="s">
        <v>14</v>
      </c>
      <c r="C4" s="2" t="s">
        <v>15</v>
      </c>
      <c r="D4" s="64" t="s">
        <v>16</v>
      </c>
      <c r="E4" s="74">
        <v>1</v>
      </c>
      <c r="F4" s="102"/>
      <c r="G4" s="74">
        <v>5</v>
      </c>
      <c r="H4" s="102"/>
      <c r="I4" s="74">
        <v>10</v>
      </c>
      <c r="J4" s="102"/>
      <c r="K4" s="74">
        <v>25</v>
      </c>
      <c r="L4" s="102"/>
      <c r="M4" s="74">
        <v>5</v>
      </c>
      <c r="N4" s="102"/>
      <c r="O4" s="74">
        <v>10</v>
      </c>
      <c r="P4" s="102"/>
      <c r="Q4" s="74">
        <v>2</v>
      </c>
      <c r="R4" s="102"/>
      <c r="S4" s="74">
        <v>6</v>
      </c>
      <c r="T4" s="102"/>
      <c r="U4" s="74">
        <v>25</v>
      </c>
      <c r="V4" s="102"/>
    </row>
    <row r="5" spans="1:22" ht="50.15" customHeight="1">
      <c r="A5" s="64" t="s">
        <v>17</v>
      </c>
      <c r="B5" s="65" t="s">
        <v>18</v>
      </c>
      <c r="C5" s="2" t="s">
        <v>15</v>
      </c>
      <c r="D5" s="64" t="s">
        <v>19</v>
      </c>
      <c r="E5" s="67">
        <v>0.1</v>
      </c>
      <c r="F5" s="71"/>
      <c r="G5" s="67">
        <v>0.05</v>
      </c>
      <c r="H5" s="71"/>
      <c r="I5" s="67">
        <v>0.1</v>
      </c>
      <c r="J5" s="71"/>
      <c r="K5" s="67">
        <v>0.1</v>
      </c>
      <c r="L5" s="71"/>
      <c r="M5" s="67">
        <v>0.1</v>
      </c>
      <c r="N5" s="71"/>
      <c r="O5" s="67">
        <v>0.05</v>
      </c>
      <c r="P5" s="71"/>
      <c r="Q5" s="67">
        <v>0.03</v>
      </c>
      <c r="R5" s="71"/>
      <c r="S5" s="67">
        <v>0.05</v>
      </c>
      <c r="T5" s="71"/>
      <c r="U5" s="67">
        <v>0.1</v>
      </c>
      <c r="V5" s="71"/>
    </row>
    <row r="6" spans="1:22" ht="50.15" customHeight="1">
      <c r="A6" s="64" t="s">
        <v>20</v>
      </c>
      <c r="B6" s="65" t="s">
        <v>21</v>
      </c>
      <c r="C6" s="2" t="s">
        <v>22</v>
      </c>
      <c r="D6" s="64" t="s">
        <v>16</v>
      </c>
      <c r="E6" s="69">
        <v>12</v>
      </c>
      <c r="F6" s="72"/>
      <c r="G6" s="69">
        <v>12</v>
      </c>
      <c r="H6" s="72"/>
      <c r="I6" s="69">
        <v>12</v>
      </c>
      <c r="J6" s="72"/>
      <c r="K6" s="69">
        <v>12</v>
      </c>
      <c r="L6" s="72"/>
      <c r="M6" s="69">
        <v>12</v>
      </c>
      <c r="N6" s="72"/>
      <c r="O6" s="69">
        <v>12</v>
      </c>
      <c r="P6" s="72"/>
      <c r="Q6" s="69">
        <v>12</v>
      </c>
      <c r="R6" s="72"/>
      <c r="S6" s="69">
        <v>12</v>
      </c>
      <c r="T6" s="72"/>
      <c r="U6" s="69">
        <v>12</v>
      </c>
      <c r="V6" s="72"/>
    </row>
    <row r="7" spans="1:22" ht="50.15" customHeight="1">
      <c r="A7" s="64" t="s">
        <v>23</v>
      </c>
      <c r="B7" s="65" t="s">
        <v>24</v>
      </c>
      <c r="C7" s="2" t="s">
        <v>15</v>
      </c>
      <c r="D7" s="64" t="s">
        <v>25</v>
      </c>
      <c r="E7" s="68">
        <v>25</v>
      </c>
      <c r="F7" s="72"/>
      <c r="G7" s="68">
        <v>180</v>
      </c>
      <c r="H7" s="72"/>
      <c r="I7" s="68">
        <v>250</v>
      </c>
      <c r="J7" s="72"/>
      <c r="K7" s="68">
        <v>450</v>
      </c>
      <c r="L7" s="72"/>
      <c r="M7" s="68">
        <v>340</v>
      </c>
      <c r="N7" s="72"/>
      <c r="O7" s="68">
        <v>220</v>
      </c>
      <c r="P7" s="72"/>
      <c r="Q7" s="68">
        <v>70</v>
      </c>
      <c r="R7" s="72"/>
      <c r="S7" s="68">
        <v>200</v>
      </c>
      <c r="T7" s="72"/>
      <c r="U7" s="68">
        <v>450</v>
      </c>
      <c r="V7" s="72"/>
    </row>
    <row r="8" spans="1:22" ht="50.15" customHeight="1">
      <c r="A8" s="64" t="s">
        <v>26</v>
      </c>
      <c r="B8" s="65" t="s">
        <v>27</v>
      </c>
      <c r="C8" s="2" t="s">
        <v>15</v>
      </c>
      <c r="D8" s="64" t="s">
        <v>28</v>
      </c>
      <c r="E8" s="68">
        <v>40</v>
      </c>
      <c r="F8" s="72"/>
      <c r="G8" s="68">
        <v>150</v>
      </c>
      <c r="H8" s="72"/>
      <c r="I8" s="68">
        <v>300</v>
      </c>
      <c r="J8" s="72"/>
      <c r="K8" s="68">
        <v>500</v>
      </c>
      <c r="L8" s="72"/>
      <c r="M8" s="68">
        <v>320</v>
      </c>
      <c r="N8" s="72"/>
      <c r="O8" s="68">
        <v>240</v>
      </c>
      <c r="P8" s="72"/>
      <c r="Q8" s="68">
        <v>28</v>
      </c>
      <c r="R8" s="72"/>
      <c r="S8" s="68">
        <v>300</v>
      </c>
      <c r="T8" s="72"/>
      <c r="U8" s="68">
        <v>500</v>
      </c>
      <c r="V8" s="72"/>
    </row>
    <row r="9" spans="1:22" ht="50.15" customHeight="1">
      <c r="A9" s="64" t="s">
        <v>29</v>
      </c>
      <c r="B9" s="65" t="s">
        <v>30</v>
      </c>
      <c r="C9" s="2" t="s">
        <v>15</v>
      </c>
      <c r="D9" s="64" t="s">
        <v>31</v>
      </c>
      <c r="E9" s="69">
        <v>1</v>
      </c>
      <c r="F9" s="72"/>
      <c r="G9" s="69">
        <v>1</v>
      </c>
      <c r="H9" s="72"/>
      <c r="I9" s="69">
        <v>1</v>
      </c>
      <c r="J9" s="72"/>
      <c r="K9" s="69">
        <v>1</v>
      </c>
      <c r="L9" s="72"/>
      <c r="M9" s="69">
        <v>1</v>
      </c>
      <c r="N9" s="72"/>
      <c r="O9" s="69">
        <v>1</v>
      </c>
      <c r="P9" s="72"/>
      <c r="Q9" s="69">
        <v>1</v>
      </c>
      <c r="R9" s="72"/>
      <c r="S9" s="69">
        <v>1</v>
      </c>
      <c r="T9" s="72"/>
      <c r="U9" s="69">
        <v>1</v>
      </c>
      <c r="V9" s="72"/>
    </row>
    <row r="10" spans="1:22" ht="50.15" customHeight="1">
      <c r="A10" s="64" t="s">
        <v>32</v>
      </c>
      <c r="B10" s="65" t="s">
        <v>33</v>
      </c>
      <c r="C10" s="2" t="s">
        <v>15</v>
      </c>
      <c r="D10" s="64" t="s">
        <v>31</v>
      </c>
      <c r="E10" s="69">
        <v>1</v>
      </c>
      <c r="F10" s="72"/>
      <c r="G10" s="69">
        <v>1</v>
      </c>
      <c r="H10" s="72"/>
      <c r="I10" s="69">
        <v>1</v>
      </c>
      <c r="J10" s="72"/>
      <c r="K10" s="69">
        <v>1</v>
      </c>
      <c r="L10" s="72"/>
      <c r="M10" s="69">
        <v>1</v>
      </c>
      <c r="N10" s="72"/>
      <c r="O10" s="69">
        <v>1</v>
      </c>
      <c r="P10" s="72"/>
      <c r="Q10" s="69">
        <v>1</v>
      </c>
      <c r="R10" s="72"/>
      <c r="S10" s="69">
        <v>1</v>
      </c>
      <c r="T10" s="72"/>
      <c r="U10" s="69">
        <v>1</v>
      </c>
      <c r="V10" s="72"/>
    </row>
    <row r="11" spans="1:22" ht="50.15" customHeight="1">
      <c r="A11" s="64" t="s">
        <v>34</v>
      </c>
      <c r="B11" s="66" t="s">
        <v>35</v>
      </c>
      <c r="C11" s="2" t="s">
        <v>22</v>
      </c>
      <c r="D11" s="64" t="s">
        <v>19</v>
      </c>
      <c r="E11" s="70">
        <v>1</v>
      </c>
      <c r="F11" s="73"/>
      <c r="G11" s="70">
        <v>1</v>
      </c>
      <c r="H11" s="73"/>
      <c r="I11" s="70">
        <v>1</v>
      </c>
      <c r="J11" s="73"/>
      <c r="K11" s="70">
        <v>1</v>
      </c>
      <c r="L11" s="73"/>
      <c r="M11" s="70">
        <v>1</v>
      </c>
      <c r="N11" s="73"/>
      <c r="O11" s="70">
        <v>1</v>
      </c>
      <c r="P11" s="73"/>
      <c r="Q11" s="70">
        <v>1</v>
      </c>
      <c r="R11" s="73"/>
      <c r="S11" s="70">
        <v>1</v>
      </c>
      <c r="T11" s="73"/>
      <c r="U11" s="70">
        <v>1</v>
      </c>
      <c r="V11" s="73"/>
    </row>
    <row r="14" spans="1:22">
      <c r="A14" s="3" t="s">
        <v>36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>
      <c r="B15" t="s">
        <v>37</v>
      </c>
    </row>
    <row r="16" spans="1:22">
      <c r="B16" t="s">
        <v>99</v>
      </c>
    </row>
    <row r="17" spans="2:2">
      <c r="B17" t="s">
        <v>38</v>
      </c>
    </row>
  </sheetData>
  <mergeCells count="9">
    <mergeCell ref="U2:V2"/>
    <mergeCell ref="Q2:R2"/>
    <mergeCell ref="S2:T2"/>
    <mergeCell ref="E2:F2"/>
    <mergeCell ref="G2:H2"/>
    <mergeCell ref="I2:J2"/>
    <mergeCell ref="K2:L2"/>
    <mergeCell ref="M2:N2"/>
    <mergeCell ref="O2:P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DE62-2362-4D7E-B0F7-B59F842CE29B}">
  <dimension ref="A1:K44"/>
  <sheetViews>
    <sheetView workbookViewId="0">
      <selection activeCell="O23" sqref="O23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117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9"/>
      <c r="D9" s="89"/>
      <c r="E9" s="89"/>
      <c r="F9" s="89"/>
      <c r="G9" s="89"/>
      <c r="H9" s="89"/>
      <c r="I9" s="89"/>
      <c r="J9" s="89"/>
      <c r="K9" s="129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7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31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9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9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9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9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9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8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C24" si="0">C2-C10</f>
        <v>-1</v>
      </c>
      <c r="D18" s="79">
        <f t="shared" ref="D18:J18" si="1">D2-D10</f>
        <v>-5</v>
      </c>
      <c r="E18" s="79">
        <f t="shared" si="1"/>
        <v>-10</v>
      </c>
      <c r="F18" s="79">
        <f t="shared" si="1"/>
        <v>-25</v>
      </c>
      <c r="G18" s="79">
        <f t="shared" si="1"/>
        <v>-5</v>
      </c>
      <c r="H18" s="79">
        <f t="shared" si="1"/>
        <v>-10</v>
      </c>
      <c r="I18" s="79">
        <f t="shared" si="1"/>
        <v>-2</v>
      </c>
      <c r="J18" s="79">
        <f t="shared" si="1"/>
        <v>-6</v>
      </c>
      <c r="K18" s="130">
        <f t="shared" ref="K18" si="2">K2-K10</f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ref="D19:J24" si="3">D3-D11</f>
        <v>-0.05</v>
      </c>
      <c r="E19" s="78">
        <f t="shared" si="3"/>
        <v>-0.1</v>
      </c>
      <c r="F19" s="78">
        <f t="shared" si="3"/>
        <v>-0.1</v>
      </c>
      <c r="G19" s="78">
        <f t="shared" si="3"/>
        <v>-0.1</v>
      </c>
      <c r="H19" s="78">
        <f t="shared" si="3"/>
        <v>-0.05</v>
      </c>
      <c r="I19" s="78">
        <f t="shared" si="3"/>
        <v>-0.03</v>
      </c>
      <c r="J19" s="78">
        <f t="shared" si="3"/>
        <v>-0.05</v>
      </c>
      <c r="K19" s="120">
        <f t="shared" ref="K19" si="4">K3-K11</f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3"/>
        <v>-12</v>
      </c>
      <c r="E20" s="77">
        <f t="shared" si="3"/>
        <v>-12</v>
      </c>
      <c r="F20" s="77">
        <f t="shared" si="3"/>
        <v>-12</v>
      </c>
      <c r="G20" s="77">
        <f t="shared" si="3"/>
        <v>-12</v>
      </c>
      <c r="H20" s="77">
        <f t="shared" si="3"/>
        <v>-12</v>
      </c>
      <c r="I20" s="77">
        <f t="shared" si="3"/>
        <v>-12</v>
      </c>
      <c r="J20" s="77">
        <f t="shared" si="3"/>
        <v>-12</v>
      </c>
      <c r="K20" s="121">
        <f t="shared" ref="K20" si="5">K4-K12</f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3"/>
        <v>-180</v>
      </c>
      <c r="E21" s="77">
        <f t="shared" si="3"/>
        <v>-250</v>
      </c>
      <c r="F21" s="77">
        <f t="shared" si="3"/>
        <v>-450</v>
      </c>
      <c r="G21" s="77">
        <f t="shared" si="3"/>
        <v>-340</v>
      </c>
      <c r="H21" s="77">
        <f t="shared" si="3"/>
        <v>-220</v>
      </c>
      <c r="I21" s="77">
        <f t="shared" si="3"/>
        <v>-70</v>
      </c>
      <c r="J21" s="77">
        <f t="shared" si="3"/>
        <v>-200</v>
      </c>
      <c r="K21" s="121">
        <f t="shared" ref="K21" si="6">K5-K13</f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3"/>
        <v>-150</v>
      </c>
      <c r="E22" s="77">
        <f t="shared" si="3"/>
        <v>-300</v>
      </c>
      <c r="F22" s="77">
        <f t="shared" si="3"/>
        <v>-500</v>
      </c>
      <c r="G22" s="77">
        <f t="shared" si="3"/>
        <v>-320</v>
      </c>
      <c r="H22" s="77">
        <f t="shared" si="3"/>
        <v>-240</v>
      </c>
      <c r="I22" s="77">
        <f t="shared" si="3"/>
        <v>-28</v>
      </c>
      <c r="J22" s="77">
        <f t="shared" si="3"/>
        <v>-300</v>
      </c>
      <c r="K22" s="121">
        <f t="shared" ref="K22" si="7">K6-K14</f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3"/>
        <v>-1</v>
      </c>
      <c r="E23" s="77">
        <f t="shared" si="3"/>
        <v>-1</v>
      </c>
      <c r="F23" s="77">
        <f t="shared" si="3"/>
        <v>-1</v>
      </c>
      <c r="G23" s="77">
        <f t="shared" si="3"/>
        <v>-1</v>
      </c>
      <c r="H23" s="77">
        <f t="shared" si="3"/>
        <v>-1</v>
      </c>
      <c r="I23" s="77">
        <f t="shared" si="3"/>
        <v>-1</v>
      </c>
      <c r="J23" s="77">
        <f t="shared" si="3"/>
        <v>-1</v>
      </c>
      <c r="K23" s="121">
        <f t="shared" ref="K23" si="8">K7-K15</f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3"/>
        <v>-1</v>
      </c>
      <c r="E24" s="77">
        <f t="shared" si="3"/>
        <v>-1</v>
      </c>
      <c r="F24" s="77">
        <f t="shared" si="3"/>
        <v>-1</v>
      </c>
      <c r="G24" s="77">
        <f t="shared" si="3"/>
        <v>-1</v>
      </c>
      <c r="H24" s="77">
        <f t="shared" si="3"/>
        <v>-1</v>
      </c>
      <c r="I24" s="77">
        <f t="shared" si="3"/>
        <v>-1</v>
      </c>
      <c r="J24" s="77">
        <f t="shared" si="3"/>
        <v>-1</v>
      </c>
      <c r="K24" s="121">
        <f t="shared" ref="K24" si="9">K8-K16</f>
        <v>-1</v>
      </c>
    </row>
    <row r="25" spans="1:11" ht="17.5" thickBot="1">
      <c r="A25" s="172"/>
      <c r="B25" s="10" t="s">
        <v>45</v>
      </c>
      <c r="C25" s="90">
        <f>C9-C17</f>
        <v>-1</v>
      </c>
      <c r="D25" s="90">
        <f t="shared" ref="D25:J25" si="10">D9-D17</f>
        <v>-1</v>
      </c>
      <c r="E25" s="90">
        <f t="shared" si="10"/>
        <v>-1</v>
      </c>
      <c r="F25" s="90">
        <f t="shared" si="10"/>
        <v>-1</v>
      </c>
      <c r="G25" s="90">
        <f t="shared" si="10"/>
        <v>-1</v>
      </c>
      <c r="H25" s="90">
        <f t="shared" si="10"/>
        <v>-1</v>
      </c>
      <c r="I25" s="90">
        <f t="shared" si="10"/>
        <v>-1</v>
      </c>
      <c r="J25" s="90">
        <f t="shared" si="10"/>
        <v>-1</v>
      </c>
      <c r="K25" s="122">
        <f t="shared" ref="K25" si="11">K9-K17</f>
        <v>-1</v>
      </c>
    </row>
    <row r="26" spans="1:11" ht="16" customHeight="1" thickBot="1">
      <c r="A26" s="173" t="s">
        <v>48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34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5.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243.65" customHeight="1">
      <c r="A30" s="11" t="s">
        <v>23</v>
      </c>
      <c r="B30" s="12" t="s">
        <v>52</v>
      </c>
      <c r="C30" s="101"/>
      <c r="D30" s="101"/>
      <c r="E30" s="101"/>
      <c r="F30" s="101"/>
      <c r="G30" s="101"/>
      <c r="H30" s="101"/>
      <c r="I30" s="101"/>
      <c r="J30" s="101"/>
      <c r="K30" s="125"/>
    </row>
    <row r="31" spans="1:11" ht="109" customHeight="1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34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4"/>
      <c r="J32" s="14"/>
      <c r="K32" s="104"/>
    </row>
    <row r="33" spans="1:11" ht="113.5" customHeight="1">
      <c r="A33" s="11" t="s">
        <v>32</v>
      </c>
      <c r="B33" s="12" t="s">
        <v>55</v>
      </c>
      <c r="C33" s="13"/>
      <c r="D33" s="14"/>
      <c r="E33" s="14"/>
      <c r="F33" s="14"/>
      <c r="G33" s="13"/>
      <c r="H33" s="14"/>
      <c r="I33" s="13"/>
      <c r="J33" s="14"/>
      <c r="K33" s="104"/>
    </row>
    <row r="34" spans="1:11" ht="74.5" customHeight="1" thickBot="1">
      <c r="A34" s="15" t="s">
        <v>34</v>
      </c>
      <c r="B34" s="16" t="s">
        <v>56</v>
      </c>
      <c r="C34" s="17"/>
      <c r="D34" s="17"/>
      <c r="E34" s="17"/>
      <c r="F34" s="18"/>
      <c r="G34" s="18"/>
      <c r="H34" s="17"/>
      <c r="I34" s="17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60" priority="2">
      <formula>C2&gt;C10</formula>
    </cfRule>
  </conditionalFormatting>
  <conditionalFormatting sqref="C20:K20">
    <cfRule type="expression" dxfId="59" priority="44">
      <formula>C4&lt;C12</formula>
    </cfRule>
  </conditionalFormatting>
  <conditionalFormatting sqref="C21:K24">
    <cfRule type="expression" dxfId="58" priority="1">
      <formula>C5&gt;C13</formula>
    </cfRule>
  </conditionalFormatting>
  <conditionalFormatting sqref="C25:K25">
    <cfRule type="expression" dxfId="57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D80D-DD66-4CA3-A6A8-81E6D2FE3685}">
  <dimension ref="A1:K44"/>
  <sheetViews>
    <sheetView workbookViewId="0">
      <selection activeCell="C2" sqref="C2:K9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100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9"/>
      <c r="D9" s="89"/>
      <c r="E9" s="89"/>
      <c r="F9" s="89"/>
      <c r="G9" s="89"/>
      <c r="H9" s="89"/>
      <c r="I9" s="89"/>
      <c r="J9" s="89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90">
        <f>C9-C17</f>
        <v>-1</v>
      </c>
      <c r="D25" s="90">
        <f t="shared" si="0"/>
        <v>-1</v>
      </c>
      <c r="E25" s="90">
        <f t="shared" si="0"/>
        <v>-1</v>
      </c>
      <c r="F25" s="90">
        <f t="shared" si="0"/>
        <v>-1</v>
      </c>
      <c r="G25" s="90">
        <f t="shared" si="0"/>
        <v>-1</v>
      </c>
      <c r="H25" s="90">
        <f t="shared" si="0"/>
        <v>-1</v>
      </c>
      <c r="I25" s="90">
        <f t="shared" si="0"/>
        <v>-1</v>
      </c>
      <c r="J25" s="90">
        <f t="shared" si="0"/>
        <v>-1</v>
      </c>
      <c r="K25" s="122">
        <f t="shared" si="0"/>
        <v>-1</v>
      </c>
    </row>
    <row r="26" spans="1:11" ht="16.399999999999999" customHeight="1" thickBot="1">
      <c r="A26" s="173" t="s">
        <v>48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68.5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3.6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6.5" customHeight="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144.65" customHeight="1">
      <c r="A30" s="11" t="s">
        <v>23</v>
      </c>
      <c r="B30" s="12" t="s">
        <v>52</v>
      </c>
      <c r="C30" s="13"/>
      <c r="D30" s="13"/>
      <c r="E30" s="13"/>
      <c r="F30" s="13"/>
      <c r="G30" s="13"/>
      <c r="H30" s="13"/>
      <c r="I30" s="13"/>
      <c r="J30" s="13"/>
      <c r="K30" s="125"/>
    </row>
    <row r="31" spans="1:11" ht="97" customHeight="1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231.65" customHeight="1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3"/>
      <c r="J32" s="14"/>
      <c r="K32" s="104"/>
    </row>
    <row r="33" spans="1:11" ht="100" customHeight="1">
      <c r="A33" s="11" t="s">
        <v>32</v>
      </c>
      <c r="B33" s="12" t="s">
        <v>55</v>
      </c>
      <c r="C33" s="13"/>
      <c r="D33" s="14"/>
      <c r="E33" s="13"/>
      <c r="F33" s="14"/>
      <c r="G33" s="13"/>
      <c r="H33" s="14"/>
      <c r="I33" s="13"/>
      <c r="J33" s="14"/>
      <c r="K33" s="104"/>
    </row>
    <row r="34" spans="1:11" ht="58.5" customHeight="1" thickBot="1">
      <c r="A34" s="15" t="s">
        <v>34</v>
      </c>
      <c r="B34" s="16" t="s">
        <v>56</v>
      </c>
      <c r="C34" s="18"/>
      <c r="D34" s="18"/>
      <c r="E34" s="18"/>
      <c r="F34" s="18"/>
      <c r="G34" s="18"/>
      <c r="H34" s="18"/>
      <c r="I34" s="18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56" priority="2">
      <formula>C2&gt;C10</formula>
    </cfRule>
  </conditionalFormatting>
  <conditionalFormatting sqref="C20:K20">
    <cfRule type="expression" dxfId="55" priority="4">
      <formula>C4&lt;C12</formula>
    </cfRule>
  </conditionalFormatting>
  <conditionalFormatting sqref="C21:K24">
    <cfRule type="expression" dxfId="54" priority="1">
      <formula>C5&gt;C13</formula>
    </cfRule>
  </conditionalFormatting>
  <conditionalFormatting sqref="C25:K25">
    <cfRule type="expression" dxfId="53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0B587-E1DE-4784-99EE-D1BB123FDD9F}">
  <dimension ref="A1:K44"/>
  <sheetViews>
    <sheetView workbookViewId="0">
      <selection activeCell="C3" sqref="C3:K8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>
        <v>1.1299999999999999</v>
      </c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0.12999999999999989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16.399999999999999" customHeight="1" thickBot="1">
      <c r="A26" s="173" t="s">
        <v>48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199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108.6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171.65" customHeight="1">
      <c r="A30" s="11" t="s">
        <v>23</v>
      </c>
      <c r="B30" s="12" t="s">
        <v>52</v>
      </c>
      <c r="C30" s="13"/>
      <c r="D30" s="13"/>
      <c r="E30" s="13"/>
      <c r="F30" s="13"/>
      <c r="G30" s="13"/>
      <c r="H30" s="13"/>
      <c r="I30" s="13"/>
      <c r="J30" s="13"/>
      <c r="K30" s="125"/>
    </row>
    <row r="31" spans="1:11" ht="99" customHeight="1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54.5" customHeight="1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4"/>
      <c r="J32" s="14"/>
      <c r="K32" s="104"/>
    </row>
    <row r="33" spans="1:11" ht="141.65" customHeight="1">
      <c r="A33" s="11" t="s">
        <v>32</v>
      </c>
      <c r="B33" s="12" t="s">
        <v>55</v>
      </c>
      <c r="C33" s="13"/>
      <c r="D33" s="14"/>
      <c r="E33" s="14"/>
      <c r="F33" s="14"/>
      <c r="G33" s="13"/>
      <c r="H33" s="13"/>
      <c r="I33" s="13"/>
      <c r="J33" s="14"/>
      <c r="K33" s="104"/>
    </row>
    <row r="34" spans="1:11" ht="63" customHeight="1" thickBot="1">
      <c r="A34" s="15" t="s">
        <v>34</v>
      </c>
      <c r="B34" s="16" t="s">
        <v>56</v>
      </c>
      <c r="C34" s="17"/>
      <c r="D34" s="18"/>
      <c r="E34" s="17"/>
      <c r="F34" s="18"/>
      <c r="G34" s="17"/>
      <c r="H34" s="17"/>
      <c r="I34" s="17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52" priority="2">
      <formula>C2&gt;C10</formula>
    </cfRule>
  </conditionalFormatting>
  <conditionalFormatting sqref="C20:K20">
    <cfRule type="expression" dxfId="51" priority="4">
      <formula>C4&lt;C12</formula>
    </cfRule>
  </conditionalFormatting>
  <conditionalFormatting sqref="C21:K24">
    <cfRule type="expression" dxfId="50" priority="1">
      <formula>C5&gt;C13</formula>
    </cfRule>
  </conditionalFormatting>
  <conditionalFormatting sqref="C25:K25">
    <cfRule type="expression" dxfId="49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0FAB-6029-485F-9C29-71ABB9E3EC5A}">
  <dimension ref="A1:K44"/>
  <sheetViews>
    <sheetView tabSelected="1" workbookViewId="0">
      <selection activeCell="M5" sqref="M5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61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70" t="s">
        <v>39</v>
      </c>
      <c r="B2" s="5" t="s">
        <v>40</v>
      </c>
      <c r="C2" s="200">
        <v>0</v>
      </c>
      <c r="D2" s="149">
        <v>16</v>
      </c>
      <c r="E2" s="200">
        <v>26</v>
      </c>
      <c r="F2" s="200">
        <v>15</v>
      </c>
      <c r="G2" s="200">
        <v>4</v>
      </c>
      <c r="H2" s="201">
        <f>7/50</f>
        <v>0.14000000000000001</v>
      </c>
      <c r="I2" s="200">
        <v>4</v>
      </c>
      <c r="J2" s="200">
        <v>63</v>
      </c>
      <c r="K2" s="202">
        <v>26</v>
      </c>
    </row>
    <row r="3" spans="1:11">
      <c r="A3" s="171"/>
      <c r="B3" s="64" t="s">
        <v>41</v>
      </c>
      <c r="C3" s="157">
        <f>1/6</f>
        <v>0.16666666666666666</v>
      </c>
      <c r="D3" s="157">
        <f>32/78</f>
        <v>0.41025641025641024</v>
      </c>
      <c r="E3" s="160">
        <f>28/125</f>
        <v>0.224</v>
      </c>
      <c r="F3" s="160">
        <f>5/56</f>
        <v>8.9285714285714288E-2</v>
      </c>
      <c r="G3" s="157">
        <f>5/150</f>
        <v>3.3333333333333333E-2</v>
      </c>
      <c r="H3" s="157">
        <f>3/15</f>
        <v>0.2</v>
      </c>
      <c r="I3" s="160">
        <f>3/24</f>
        <v>0.125</v>
      </c>
      <c r="J3" s="160">
        <f>27/105</f>
        <v>0.25714285714285712</v>
      </c>
      <c r="K3" s="203">
        <f>56/78</f>
        <v>0.71794871794871795</v>
      </c>
    </row>
    <row r="4" spans="1:11">
      <c r="A4" s="171"/>
      <c r="B4" s="64" t="s">
        <v>42</v>
      </c>
      <c r="C4" s="158">
        <v>9</v>
      </c>
      <c r="D4" s="158">
        <v>5</v>
      </c>
      <c r="E4" s="158">
        <v>26</v>
      </c>
      <c r="F4" s="158">
        <v>4</v>
      </c>
      <c r="G4" s="158">
        <v>6</v>
      </c>
      <c r="H4" s="158">
        <v>5</v>
      </c>
      <c r="I4" s="158">
        <v>5</v>
      </c>
      <c r="J4" s="158">
        <v>0</v>
      </c>
      <c r="K4" s="204">
        <v>3</v>
      </c>
    </row>
    <row r="5" spans="1:11">
      <c r="A5" s="171"/>
      <c r="B5" s="64" t="s">
        <v>23</v>
      </c>
      <c r="C5" s="158">
        <v>27</v>
      </c>
      <c r="D5" s="158">
        <v>195</v>
      </c>
      <c r="E5" s="158">
        <v>292</v>
      </c>
      <c r="F5" s="158">
        <v>232</v>
      </c>
      <c r="G5" s="158">
        <v>239</v>
      </c>
      <c r="H5" s="158">
        <v>258</v>
      </c>
      <c r="I5" s="158">
        <v>20</v>
      </c>
      <c r="J5" s="158">
        <v>306</v>
      </c>
      <c r="K5" s="204">
        <v>150</v>
      </c>
    </row>
    <row r="6" spans="1:11">
      <c r="A6" s="171"/>
      <c r="B6" s="64" t="s">
        <v>26</v>
      </c>
      <c r="C6" s="158">
        <v>11</v>
      </c>
      <c r="D6" s="158">
        <v>167</v>
      </c>
      <c r="E6" s="158">
        <v>879</v>
      </c>
      <c r="F6" s="158">
        <v>114</v>
      </c>
      <c r="G6" s="158">
        <v>0</v>
      </c>
      <c r="H6" s="158">
        <v>1610</v>
      </c>
      <c r="I6" s="158">
        <v>15</v>
      </c>
      <c r="J6" s="158">
        <v>9238</v>
      </c>
      <c r="K6" s="204">
        <v>786</v>
      </c>
    </row>
    <row r="7" spans="1:11">
      <c r="A7" s="171"/>
      <c r="B7" s="64" t="s">
        <v>43</v>
      </c>
      <c r="C7" s="158">
        <v>0</v>
      </c>
      <c r="D7" s="198">
        <v>5</v>
      </c>
      <c r="E7" s="158">
        <v>7</v>
      </c>
      <c r="F7" s="199">
        <v>9</v>
      </c>
      <c r="G7" s="158">
        <v>3</v>
      </c>
      <c r="H7" s="158">
        <v>4</v>
      </c>
      <c r="I7" s="158">
        <v>1</v>
      </c>
      <c r="J7" s="158">
        <v>21</v>
      </c>
      <c r="K7" s="204">
        <v>3</v>
      </c>
    </row>
    <row r="8" spans="1:11">
      <c r="A8" s="171"/>
      <c r="B8" s="64" t="s">
        <v>44</v>
      </c>
      <c r="C8" s="158">
        <v>0</v>
      </c>
      <c r="D8" s="158">
        <v>0</v>
      </c>
      <c r="E8" s="158">
        <v>2</v>
      </c>
      <c r="F8" s="199">
        <v>5</v>
      </c>
      <c r="G8" s="158">
        <v>0</v>
      </c>
      <c r="H8" s="158">
        <v>6</v>
      </c>
      <c r="I8" s="158">
        <v>0</v>
      </c>
      <c r="J8" s="158">
        <v>29</v>
      </c>
      <c r="K8" s="204">
        <v>1</v>
      </c>
    </row>
    <row r="9" spans="1:11" ht="17.5" thickBot="1">
      <c r="A9" s="172"/>
      <c r="B9" s="10" t="s">
        <v>45</v>
      </c>
      <c r="C9" s="205">
        <v>2.33</v>
      </c>
      <c r="D9" s="206">
        <v>0.95</v>
      </c>
      <c r="E9" s="207">
        <v>0.9</v>
      </c>
      <c r="F9" s="205">
        <v>1.1399999999999999</v>
      </c>
      <c r="G9" s="161">
        <v>1</v>
      </c>
      <c r="H9" s="207">
        <v>0.94</v>
      </c>
      <c r="I9" s="161">
        <v>1</v>
      </c>
      <c r="J9" s="207">
        <v>1.08</v>
      </c>
      <c r="K9" s="208">
        <v>0.28999999999999998</v>
      </c>
    </row>
    <row r="10" spans="1:11">
      <c r="A10" s="168" t="s">
        <v>46</v>
      </c>
      <c r="B10" s="162" t="s">
        <v>13</v>
      </c>
      <c r="C10" s="159">
        <f>KPI目標說明!E4</f>
        <v>1</v>
      </c>
      <c r="D10" s="159">
        <f>KPI目標說明!G4</f>
        <v>5</v>
      </c>
      <c r="E10" s="159">
        <f>KPI目標說明!I4</f>
        <v>10</v>
      </c>
      <c r="F10" s="159">
        <f>KPI目標說明!K4</f>
        <v>25</v>
      </c>
      <c r="G10" s="159">
        <f>KPI目標說明!M4</f>
        <v>5</v>
      </c>
      <c r="H10" s="159">
        <f>KPI目標說明!O4</f>
        <v>10</v>
      </c>
      <c r="I10" s="159">
        <f>KPI目標說明!Q4</f>
        <v>2</v>
      </c>
      <c r="J10" s="159">
        <f>KPI目標說明!S4</f>
        <v>6</v>
      </c>
      <c r="K10" s="197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11</v>
      </c>
      <c r="E18" s="79">
        <f t="shared" si="0"/>
        <v>16</v>
      </c>
      <c r="F18" s="79">
        <f t="shared" si="0"/>
        <v>-10</v>
      </c>
      <c r="G18" s="79">
        <f t="shared" si="0"/>
        <v>-1</v>
      </c>
      <c r="H18" s="79">
        <f t="shared" si="0"/>
        <v>-9.86</v>
      </c>
      <c r="I18" s="79">
        <f t="shared" si="0"/>
        <v>2</v>
      </c>
      <c r="J18" s="79">
        <f t="shared" si="0"/>
        <v>57</v>
      </c>
      <c r="K18" s="119">
        <f t="shared" si="0"/>
        <v>1</v>
      </c>
    </row>
    <row r="19" spans="1:11">
      <c r="A19" s="171"/>
      <c r="B19" s="64" t="s">
        <v>41</v>
      </c>
      <c r="C19" s="78">
        <f t="shared" si="0"/>
        <v>6.6666666666666652E-2</v>
      </c>
      <c r="D19" s="78">
        <f t="shared" si="0"/>
        <v>0.36025641025641025</v>
      </c>
      <c r="E19" s="78">
        <f t="shared" si="0"/>
        <v>0.124</v>
      </c>
      <c r="F19" s="78">
        <f t="shared" si="0"/>
        <v>-1.0714285714285718E-2</v>
      </c>
      <c r="G19" s="78">
        <f t="shared" si="0"/>
        <v>-6.666666666666668E-2</v>
      </c>
      <c r="H19" s="78">
        <f t="shared" si="0"/>
        <v>0.15000000000000002</v>
      </c>
      <c r="I19" s="78">
        <f t="shared" si="0"/>
        <v>9.5000000000000001E-2</v>
      </c>
      <c r="J19" s="78">
        <f t="shared" si="0"/>
        <v>0.20714285714285713</v>
      </c>
      <c r="K19" s="120">
        <f t="shared" si="0"/>
        <v>0.61794871794871797</v>
      </c>
    </row>
    <row r="20" spans="1:11">
      <c r="A20" s="171"/>
      <c r="B20" s="64" t="s">
        <v>20</v>
      </c>
      <c r="C20" s="77">
        <f t="shared" si="0"/>
        <v>-3</v>
      </c>
      <c r="D20" s="77">
        <f t="shared" si="0"/>
        <v>-7</v>
      </c>
      <c r="E20" s="77">
        <f t="shared" si="0"/>
        <v>14</v>
      </c>
      <c r="F20" s="77">
        <f t="shared" si="0"/>
        <v>-8</v>
      </c>
      <c r="G20" s="77">
        <f t="shared" si="0"/>
        <v>-6</v>
      </c>
      <c r="H20" s="77">
        <f t="shared" si="0"/>
        <v>-7</v>
      </c>
      <c r="I20" s="77">
        <f t="shared" si="0"/>
        <v>-7</v>
      </c>
      <c r="J20" s="77">
        <f t="shared" si="0"/>
        <v>-12</v>
      </c>
      <c r="K20" s="121">
        <f t="shared" si="0"/>
        <v>-9</v>
      </c>
    </row>
    <row r="21" spans="1:11">
      <c r="A21" s="171"/>
      <c r="B21" s="64" t="s">
        <v>23</v>
      </c>
      <c r="C21" s="77">
        <f t="shared" si="0"/>
        <v>2</v>
      </c>
      <c r="D21" s="77">
        <f t="shared" si="0"/>
        <v>15</v>
      </c>
      <c r="E21" s="77">
        <f t="shared" si="0"/>
        <v>42</v>
      </c>
      <c r="F21" s="77">
        <f t="shared" si="0"/>
        <v>-218</v>
      </c>
      <c r="G21" s="77">
        <f t="shared" si="0"/>
        <v>-101</v>
      </c>
      <c r="H21" s="77">
        <f t="shared" si="0"/>
        <v>38</v>
      </c>
      <c r="I21" s="77">
        <f t="shared" si="0"/>
        <v>-50</v>
      </c>
      <c r="J21" s="77">
        <f t="shared" si="0"/>
        <v>106</v>
      </c>
      <c r="K21" s="121">
        <f t="shared" si="0"/>
        <v>-300</v>
      </c>
    </row>
    <row r="22" spans="1:11">
      <c r="A22" s="171"/>
      <c r="B22" s="64" t="s">
        <v>26</v>
      </c>
      <c r="C22" s="77">
        <f t="shared" si="0"/>
        <v>-29</v>
      </c>
      <c r="D22" s="77">
        <f t="shared" si="0"/>
        <v>17</v>
      </c>
      <c r="E22" s="77">
        <f t="shared" si="0"/>
        <v>579</v>
      </c>
      <c r="F22" s="77">
        <f t="shared" si="0"/>
        <v>-386</v>
      </c>
      <c r="G22" s="77">
        <f t="shared" si="0"/>
        <v>-320</v>
      </c>
      <c r="H22" s="77">
        <f t="shared" si="0"/>
        <v>1370</v>
      </c>
      <c r="I22" s="77">
        <f t="shared" si="0"/>
        <v>-13</v>
      </c>
      <c r="J22" s="77">
        <f t="shared" si="0"/>
        <v>8938</v>
      </c>
      <c r="K22" s="121">
        <f t="shared" si="0"/>
        <v>286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4</v>
      </c>
      <c r="E23" s="77">
        <f t="shared" si="0"/>
        <v>6</v>
      </c>
      <c r="F23" s="77">
        <f t="shared" si="0"/>
        <v>8</v>
      </c>
      <c r="G23" s="77">
        <f t="shared" si="0"/>
        <v>2</v>
      </c>
      <c r="H23" s="77">
        <f t="shared" si="0"/>
        <v>3</v>
      </c>
      <c r="I23" s="77">
        <f t="shared" si="0"/>
        <v>0</v>
      </c>
      <c r="J23" s="77">
        <f t="shared" si="0"/>
        <v>20</v>
      </c>
      <c r="K23" s="121">
        <f t="shared" si="0"/>
        <v>2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1</v>
      </c>
      <c r="F24" s="77">
        <f t="shared" si="0"/>
        <v>4</v>
      </c>
      <c r="G24" s="77">
        <f t="shared" si="0"/>
        <v>-1</v>
      </c>
      <c r="H24" s="77">
        <f t="shared" si="0"/>
        <v>5</v>
      </c>
      <c r="I24" s="77">
        <f t="shared" si="0"/>
        <v>-1</v>
      </c>
      <c r="J24" s="77">
        <f t="shared" si="0"/>
        <v>28</v>
      </c>
      <c r="K24" s="121">
        <f t="shared" si="0"/>
        <v>0</v>
      </c>
    </row>
    <row r="25" spans="1:11" ht="17.5" thickBot="1">
      <c r="A25" s="172"/>
      <c r="B25" s="10" t="s">
        <v>45</v>
      </c>
      <c r="C25" s="86">
        <f>C9-C17</f>
        <v>1.33</v>
      </c>
      <c r="D25" s="86">
        <f t="shared" si="0"/>
        <v>-5.0000000000000044E-2</v>
      </c>
      <c r="E25" s="86">
        <f t="shared" si="0"/>
        <v>-9.9999999999999978E-2</v>
      </c>
      <c r="F25" s="86">
        <f t="shared" si="0"/>
        <v>0.1399999999999999</v>
      </c>
      <c r="G25" s="86">
        <f t="shared" si="0"/>
        <v>0</v>
      </c>
      <c r="H25" s="86">
        <f t="shared" si="0"/>
        <v>-6.0000000000000053E-2</v>
      </c>
      <c r="I25" s="86">
        <f t="shared" si="0"/>
        <v>0</v>
      </c>
      <c r="J25" s="86">
        <f t="shared" si="0"/>
        <v>8.0000000000000071E-2</v>
      </c>
      <c r="K25" s="122">
        <f t="shared" si="0"/>
        <v>-0.71</v>
      </c>
    </row>
    <row r="26" spans="1:11" ht="16.399999999999999" hidden="1" customHeight="1" thickBot="1">
      <c r="A26" s="173" t="s">
        <v>48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83" hidden="1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3.65" hidden="1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 hidden="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177" hidden="1" customHeight="1">
      <c r="A30" s="11" t="s">
        <v>23</v>
      </c>
      <c r="B30" s="12" t="s">
        <v>52</v>
      </c>
      <c r="C30" s="13"/>
      <c r="D30" s="13"/>
      <c r="E30" s="13"/>
      <c r="F30" s="13"/>
      <c r="G30" s="13"/>
      <c r="H30" s="13"/>
      <c r="I30" s="13"/>
      <c r="J30" s="13"/>
      <c r="K30" s="125"/>
    </row>
    <row r="31" spans="1:11" ht="203.15" hidden="1" customHeight="1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33.5" hidden="1" customHeight="1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4"/>
      <c r="J32" s="14"/>
      <c r="K32" s="104"/>
    </row>
    <row r="33" spans="1:11" ht="34" hidden="1">
      <c r="A33" s="11" t="s">
        <v>32</v>
      </c>
      <c r="B33" s="12" t="s">
        <v>55</v>
      </c>
      <c r="C33" s="13"/>
      <c r="D33" s="13"/>
      <c r="E33" s="14"/>
      <c r="F33" s="14"/>
      <c r="G33" s="13"/>
      <c r="H33" s="14"/>
      <c r="I33" s="13"/>
      <c r="J33" s="14"/>
      <c r="K33" s="104"/>
    </row>
    <row r="34" spans="1:11" ht="73" hidden="1" customHeight="1" thickBot="1">
      <c r="A34" s="15" t="s">
        <v>34</v>
      </c>
      <c r="B34" s="16" t="s">
        <v>56</v>
      </c>
      <c r="C34" s="17"/>
      <c r="D34" s="17"/>
      <c r="E34" s="17"/>
      <c r="F34" s="17"/>
      <c r="G34" s="17"/>
      <c r="H34" s="17"/>
      <c r="I34" s="17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48" priority="2">
      <formula>C2&gt;C10</formula>
    </cfRule>
  </conditionalFormatting>
  <conditionalFormatting sqref="C20:K20">
    <cfRule type="expression" dxfId="47" priority="4">
      <formula>C4&lt;C12</formula>
    </cfRule>
  </conditionalFormatting>
  <conditionalFormatting sqref="C21:K24">
    <cfRule type="expression" dxfId="46" priority="1">
      <formula>C5&gt;C13</formula>
    </cfRule>
  </conditionalFormatting>
  <conditionalFormatting sqref="C25:K25">
    <cfRule type="expression" dxfId="45" priority="3">
      <formula>C9&lt;C17</formula>
    </cfRule>
  </conditionalFormatting>
  <hyperlinks>
    <hyperlink ref="D2" r:id="rId1" display="12" xr:uid="{A0C682B7-7EC5-46AF-A40F-211CC9C894B4}"/>
    <hyperlink ref="D7" r:id="rId2" display="../../../../:x:/g/personal/a90005_tahoho_com_tw/EV9GqyGCbdhOhUE5GwuPzPoBNvasw0zbnkGSod30BvfRZQ?e=iUTwBp&amp;nav=MTVfezAwMDAwMDAwLTAwMDEtMDAwMC0wRjAwLTAwMDAwMDAwMDAwMH0" xr:uid="{662DC091-3F66-4BFD-8E67-50031ACF0C89}"/>
    <hyperlink ref="D9" r:id="rId3" display="../../../../:x:/g/personal/a90005_tahoho_com_tw/EV9GqyGCbdhOhUE5GwuPzPoBNvasw0zbnkGSod30BvfRZQ?e=Vug54V&amp;nav=MTVfezAwMDAwMDAwLTAwMDEtMDAwMC0wNDAwLTAwMDAwMDAwMDAwMH0" xr:uid="{A61104F0-DDDC-4753-B121-6A179AB298DB}"/>
    <hyperlink ref="D3" r:id="rId4" display="../../../../:x:/g/personal/a90005_tahoho_com_tw/EV9GqyGCbdhOhUE5GwuPzPoBNvasw0zbnkGSod30BvfRZQ?e=qKojX2&amp;nav=MTVfezAwMDAwMDAwLTAwMDEtMDAwMC0wNTAwLTAwMDAwMDAwMDAwMH0" xr:uid="{0FF65C87-2A00-4376-84A7-A1397C89E47D}"/>
    <hyperlink ref="D4" r:id="rId5" display="../../../../:x:/g/personal/a90005_tahoho_com_tw/EV9GqyGCbdhOhUE5GwuPzPoBNvasw0zbnkGSod30BvfRZQ?e=b7YAgC&amp;nav=MTVfezAwMDAwMDAwLTAwMDEtMDAwMC0wMDAwLTAwMDAwMDAwMDAwMH0" xr:uid="{F4BFB183-FC3F-49EC-AA91-DE9C3B0729E2}"/>
    <hyperlink ref="D5" r:id="rId6" display="../../../../:x:/g/personal/a90005_tahoho_com_tw/EV9GqyGCbdhOhUE5GwuPzPoBNvasw0zbnkGSod30BvfRZQ?e=b7YAgC&amp;nav=MTVfezAwMDAwMDAwLTAwMDEtMDAwMC0wMDAwLTAwMDAwMDAwMDAwMH0" xr:uid="{90B52099-24EE-46D1-B5F0-C90B514B42AE}"/>
    <hyperlink ref="D6" r:id="rId7" display="../../../../:x:/g/personal/a90005_tahoho_com_tw/EV9GqyGCbdhOhUE5GwuPzPoBNvasw0zbnkGSod30BvfRZQ?e=b7YAgC&amp;nav=MTVfezAwMDAwMDAwLTAwMDEtMDAwMC0wMDAwLTAwMDAwMDAwMDAwMH0" xr:uid="{A037C7F1-9445-449C-9036-B568AFA54094}"/>
    <hyperlink ref="D8" r:id="rId8" display="../../../../:x:/g/personal/a90005_tahoho_com_tw/EV9GqyGCbdhOhUE5GwuPzPoBNvasw0zbnkGSod30BvfRZQ?e=MLX95y&amp;nav=MTVfezAwMDAwMDAwLTAwMDEtMDAwMC0xMzAwLTAwMDAwMDAwMDAwMH0" xr:uid="{A25B1718-AAFB-4D98-A382-08B14BE3C9DF}"/>
    <hyperlink ref="I2" r:id="rId9" display="../../../../:x:/g/personal/a90005_tahoho_com_tw/EVMfOV7BBsVLtj0TiBxgfHoBVaqA2HpqPyMGaYjrxiMZcg?e=iGdygd&amp;nav=MTVfezAwMDAwMDAwLTAwMDEtMDAwMC0xNDAwLTAwMDAwMDAwMDAwMH0" xr:uid="{ABA4C3C4-B36A-4B53-AA9D-3B5C3B80211B}"/>
    <hyperlink ref="I3" r:id="rId10" display="../../../../:x:/g/personal/a90005_tahoho_com_tw/EVMfOV7BBsVLtj0TiBxgfHoBVaqA2HpqPyMGaYjrxiMZcg?e=RdLLY7&amp;nav=MTVfezAwMDAwMDAwLTAwMDEtMDAwMC0wNTAwLTAwMDAwMDAwMDAwMH0" xr:uid="{D27C964A-B8B6-4345-87CF-8B691D7CFC03}"/>
    <hyperlink ref="I4" r:id="rId11" display="../../../../:x:/g/personal/a90005_tahoho_com_tw/EVMfOV7BBsVLtj0TiBxgfHoBVaqA2HpqPyMGaYjrxiMZcg?e=xnPVOH&amp;nav=MTVfezAwMDAwMDAwLTAwMDEtMDAwMC0wMDAwLTAwMDAwMDAwMDAwMH0" xr:uid="{17A2409E-7AA2-4D4E-9C89-A8870308B1DF}"/>
    <hyperlink ref="I5" r:id="rId12" display="../../../../:x:/g/personal/a90005_tahoho_com_tw/EVMfOV7BBsVLtj0TiBxgfHoBVaqA2HpqPyMGaYjrxiMZcg?e=xnPVOH&amp;nav=MTVfezAwMDAwMDAwLTAwMDEtMDAwMC0wMDAwLTAwMDAwMDAwMDAwMH0" xr:uid="{D958B258-921D-47D2-9F13-D9A8F90221AD}"/>
    <hyperlink ref="I6" r:id="rId13" display="../../../../:x:/g/personal/a90005_tahoho_com_tw/EVMfOV7BBsVLtj0TiBxgfHoBVaqA2HpqPyMGaYjrxiMZcg?e=xnPVOH&amp;nav=MTVfezAwMDAwMDAwLTAwMDEtMDAwMC0wMDAwLTAwMDAwMDAwMDAwMH0" xr:uid="{DA81DAA8-2FC2-4CD2-A0FD-0E79A52022B6}"/>
    <hyperlink ref="I8" r:id="rId14" display="../../../../:x:/g/personal/a90005_tahoho_com_tw/EVMfOV7BBsVLtj0TiBxgfHoBVaqA2HpqPyMGaYjrxiMZcg?e=nBNh0M&amp;nav=MTVfezAwMDAwMDAwLTAwMDEtMDAwMC0xMzAwLTAwMDAwMDAwMDAwMH0" xr:uid="{BEB221D8-ACF3-46CC-8DCB-ABC9AB007F60}"/>
    <hyperlink ref="I7" r:id="rId15" display="../../../../:x:/g/personal/a90005_tahoho_com_tw/EVMfOV7BBsVLtj0TiBxgfHoBVaqA2HpqPyMGaYjrxiMZcg?e=XynDbe&amp;nav=MTVfezAwMDAwMDAwLTAwMDEtMDAwMC0wRjAwLTAwMDAwMDAwMDAwMH0" xr:uid="{A5D46C23-A6FD-4E98-8F85-1A4B83CDA787}"/>
    <hyperlink ref="I9" r:id="rId16" display="../../../../:x:/g/personal/a90005_tahoho_com_tw/EVMfOV7BBsVLtj0TiBxgfHoBVaqA2HpqPyMGaYjrxiMZcg?e=f9A9CN&amp;nav=MTVfezAwMDAwMDAwLTAwMDEtMDAwMC0wNDAwLTAwMDAwMDAwMDAwMH0" xr:uid="{55DF6C72-334B-4605-9DD0-52A81BA80465}"/>
    <hyperlink ref="H2" r:id="rId17" display="../../../../:x:/g/personal/a90005_tahoho_com_tw/EYedXPVqLRtLjTV89Oo4PLEBpwmkOBtpObQ7Mdu3Pn-nlw?e=biduBo&amp;nav=MTVfezAwMDAwMDAwLTAwMDEtMDAwMC0xNDAwLTAwMDAwMDAwMDAwMH0" xr:uid="{067FE7AE-C8EA-44C6-9A68-18371DBBE84F}"/>
    <hyperlink ref="H3" r:id="rId18" display="../../../../:x:/g/personal/a90005_tahoho_com_tw/EYedXPVqLRtLjTV89Oo4PLEBpwmkOBtpObQ7Mdu3Pn-nlw?e=VeBwa0&amp;nav=MTVfezAwMDAwMDAwLTAwMDEtMDAwMC0wNTAwLTAwMDAwMDAwMDAwMH0" xr:uid="{5E36B1B1-29CA-4380-AB95-8B52E37DB210}"/>
    <hyperlink ref="H4" r:id="rId19" display="../../../../:x:/g/personal/a90005_tahoho_com_tw/EYedXPVqLRtLjTV89Oo4PLEBpwmkOBtpObQ7Mdu3Pn-nlw?e=Uj9tYZ&amp;nav=MTVfezAwMDAwMDAwLTAwMDEtMDAwMC0wMDAwLTAwMDAwMDAwMDAwMH0" xr:uid="{6743AC1F-D172-40DE-97B2-AC8519D22A24}"/>
    <hyperlink ref="H5" r:id="rId20" display="../../../../:x:/g/personal/a90005_tahoho_com_tw/EYedXPVqLRtLjTV89Oo4PLEBpwmkOBtpObQ7Mdu3Pn-nlw?e=Uj9tYZ&amp;nav=MTVfezAwMDAwMDAwLTAwMDEtMDAwMC0wMDAwLTAwMDAwMDAwMDAwMH0" xr:uid="{A4CF6590-6C0D-4133-A360-50032A87AED1}"/>
    <hyperlink ref="H6" r:id="rId21" display="../../../../:x:/g/personal/a90005_tahoho_com_tw/EYedXPVqLRtLjTV89Oo4PLEBpwmkOBtpObQ7Mdu3Pn-nlw?e=Uj9tYZ&amp;nav=MTVfezAwMDAwMDAwLTAwMDEtMDAwMC0wMDAwLTAwMDAwMDAwMDAwMH0" xr:uid="{4D69A860-B45C-42CE-A809-DF19F5AF20B3}"/>
    <hyperlink ref="H7" r:id="rId22" display="../../../../:x:/g/personal/a90005_tahoho_com_tw/EYedXPVqLRtLjTV89Oo4PLEBpwmkOBtpObQ7Mdu3Pn-nlw?e=ARop1V&amp;nav=MTVfezAwMDAwMDAwLTAwMDEtMDAwMC0wRjAwLTAwMDAwMDAwMDAwMH0" xr:uid="{1FC4556C-7D93-4005-98D8-393274B7B094}"/>
    <hyperlink ref="H8" r:id="rId23" display="../../../../:x:/g/personal/a90005_tahoho_com_tw/EYedXPVqLRtLjTV89Oo4PLEBpwmkOBtpObQ7Mdu3Pn-nlw?e=ORYMSo&amp;nav=MTVfezAwMDAwMDAwLTAwMDEtMDAwMC0xMzAwLTAwMDAwMDAwMDAwMH0" xr:uid="{205B09FB-2484-41A7-8976-D36EC9185660}"/>
    <hyperlink ref="H9" r:id="rId24" display="../../../../:x:/g/personal/a90005_tahoho_com_tw/EYedXPVqLRtLjTV89Oo4PLEBpwmkOBtpObQ7Mdu3Pn-nlw?e=xqDjvY&amp;nav=MTVfezAwMDAwMDAwLTAwMDEtMDAwMC0wNDAwLTAwMDAwMDAwMDAwMH0" xr:uid="{E1091187-F8B9-4E13-8676-FEA27B9BC2B0}"/>
    <hyperlink ref="C4" r:id="rId25" display="../../../../:x:/g/personal/a90005_tahoho_com_tw/EYc--Y-AgMFOhog9-JHhYuEB3aH6rdt2tsEWACjIcj0URg?e=88ySFi&amp;nav=MTVfezAwMDAwMDAwLTAwMDEtMDAwMC0wMDAwLTAwMDAwMDAwMDAwMH0" xr:uid="{6B59D624-0702-48CB-9127-FB4312980B23}"/>
    <hyperlink ref="C5" r:id="rId26" display="../../../../:x:/g/personal/a90005_tahoho_com_tw/EYc--Y-AgMFOhog9-JHhYuEB3aH6rdt2tsEWACjIcj0URg?e=88ySFi&amp;nav=MTVfezAwMDAwMDAwLTAwMDEtMDAwMC0wMDAwLTAwMDAwMDAwMDAwMH0" xr:uid="{EA64F8D2-1C5F-4CA1-876E-5181F3344F0D}"/>
    <hyperlink ref="C6" r:id="rId27" display="../../../../:x:/g/personal/a90005_tahoho_com_tw/EYc--Y-AgMFOhog9-JHhYuEB3aH6rdt2tsEWACjIcj0URg?e=88ySFi&amp;nav=MTVfezAwMDAwMDAwLTAwMDEtMDAwMC0wMDAwLTAwMDAwMDAwMDAwMH0" xr:uid="{D6BD5C81-E2F2-4253-97C3-DB89B095BD1B}"/>
    <hyperlink ref="C2" r:id="rId28" display="../../../../:x:/g/personal/a90005_tahoho_com_tw/EYc--Y-AgMFOhog9-JHhYuEB3aH6rdt2tsEWACjIcj0URg?e=dTpz0Y&amp;nav=MTVfezAwMDAwMDAwLTAwMDEtMDAwMC0xNDAwLTAwMDAwMDAwMDAwMH0" xr:uid="{C6AA6310-5516-4B7B-91C6-8D5EC0DEAB21}"/>
    <hyperlink ref="C3" r:id="rId29" display="../../../../:x:/g/personal/a90005_tahoho_com_tw/EYc--Y-AgMFOhog9-JHhYuEB3aH6rdt2tsEWACjIcj0URg?e=wq2iCF&amp;nav=MTVfezAwMDAwMDAwLTAwMDEtMDAwMC0wNTAwLTAwMDAwMDAwMDAwMH0" xr:uid="{C1E769BE-02B0-46C3-B27E-47463273C729}"/>
    <hyperlink ref="C7" r:id="rId30" display="../../../../:x:/g/personal/a90005_tahoho_com_tw/EYc--Y-AgMFOhog9-JHhYuEB3aH6rdt2tsEWACjIcj0URg?e=XLez0h&amp;nav=MTVfezAwMDAwMDAwLTAwMDEtMDAwMC0wRjAwLTAwMDAwMDAwMDAwMH0" xr:uid="{06BDC1D1-88C9-463D-9E80-780EFFB98052}"/>
    <hyperlink ref="C8" r:id="rId31" display="../../../../:x:/g/personal/a90005_tahoho_com_tw/EYc--Y-AgMFOhog9-JHhYuEB3aH6rdt2tsEWACjIcj0URg?e=n2NH0t&amp;nav=MTVfezAwMDAwMDAwLTAwMDEtMDAwMC0xMzAwLTAwMDAwMDAwMDAwMH0" xr:uid="{05D86C45-1D3E-40CE-BA71-7DA73C1B3683}"/>
    <hyperlink ref="C9" r:id="rId32" display="../../../../:x:/g/personal/a90005_tahoho_com_tw/EYc--Y-AgMFOhog9-JHhYuEB3aH6rdt2tsEWACjIcj0URg?e=OtBe1T&amp;nav=MTVfezAwMDAwMDAwLTAwMDEtMDAwMC0wNDAwLTAwMDAwMDAwMDAwMH0" xr:uid="{810E8A44-4259-4829-BD66-C107A5C02A88}"/>
    <hyperlink ref="K9" r:id="rId33" display="../../../../:x:/g/personal/a90005_tahoho_com_tw/EXECLMvYCK1MiDb7_Qyz5pkBFTF-N7Fzus_5XuY2-JSxQg?e=FPNgWz&amp;nav=MTVfezAwMDAwMDAwLTAwMDEtMDAwMC0wNDAwLTAwMDAwMDAwMDAwMH0" xr:uid="{1F948F73-C871-4784-900C-3A28F3B6386D}"/>
    <hyperlink ref="K8" r:id="rId34" display="../../../../:x:/g/personal/a90005_tahoho_com_tw/EXECLMvYCK1MiDb7_Qyz5pkBFTF-N7Fzus_5XuY2-JSxQg?e=9CKRSJ&amp;nav=MTVfezAwMDAwMDAwLTAwMDEtMDAwMC0xMzAwLTAwMDAwMDAwMDAwMH0" xr:uid="{9B7C29A3-7E5A-459E-9239-22A86B8C26EF}"/>
    <hyperlink ref="K7" r:id="rId35" display="../../../../:x:/g/personal/a90005_tahoho_com_tw/EXECLMvYCK1MiDb7_Qyz5pkBFTF-N7Fzus_5XuY2-JSxQg?e=G46kkW&amp;nav=MTVfezAwMDAwMDAwLTAwMDEtMDAwMC0wRjAwLTAwMDAwMDAwMDAwMH0" xr:uid="{26758940-A15F-432C-A528-78345021766D}"/>
    <hyperlink ref="K4" r:id="rId36" display="../../../../:x:/g/personal/a90005_tahoho_com_tw/EXECLMvYCK1MiDb7_Qyz5pkBFTF-N7Fzus_5XuY2-JSxQg?e=1tvqC6&amp;nav=MTVfezAwMDAwMDAwLTAwMDEtMDAwMC0wMDAwLTAwMDAwMDAwMDAwMH0" xr:uid="{DF26BDFF-9D1D-43D1-969F-517B5B4DAB6F}"/>
    <hyperlink ref="K5" r:id="rId37" display="../../../../:x:/g/personal/a90005_tahoho_com_tw/EXECLMvYCK1MiDb7_Qyz5pkBFTF-N7Fzus_5XuY2-JSxQg?e=1tvqC6&amp;nav=MTVfezAwMDAwMDAwLTAwMDEtMDAwMC0wMDAwLTAwMDAwMDAwMDAwMH0" xr:uid="{B6E8FABC-9089-4389-8DFB-2CC88599CE8F}"/>
    <hyperlink ref="K6" r:id="rId38" display="../../../../:x:/g/personal/a90005_tahoho_com_tw/EXECLMvYCK1MiDb7_Qyz5pkBFTF-N7Fzus_5XuY2-JSxQg?e=1tvqC6&amp;nav=MTVfezAwMDAwMDAwLTAwMDEtMDAwMC0wMDAwLTAwMDAwMDAwMDAwMH0" xr:uid="{C6D94882-A9B9-48F6-B16C-4A5A55FBE0A6}"/>
    <hyperlink ref="K3" r:id="rId39" display="../../../../:x:/g/personal/a90005_tahoho_com_tw/EXECLMvYCK1MiDb7_Qyz5pkBFTF-N7Fzus_5XuY2-JSxQg?e=fiiO60&amp;nav=MTVfezAwMDAwMDAwLTAwMDEtMDAwMC0wNTAwLTAwMDAwMDAwMDAwMH0" xr:uid="{C1E61E02-4167-4336-9D59-21CC87CBC15E}"/>
    <hyperlink ref="K2" r:id="rId40" display="../../../../:x:/g/personal/a90005_tahoho_com_tw/EXECLMvYCK1MiDb7_Qyz5pkBFTF-N7Fzus_5XuY2-JSxQg?e=bY3SUZ&amp;nav=MTVfezAwMDAwMDAwLTAwMDEtMDAwMC0xNDAwLTAwMDAwMDAwMDAwMH0" xr:uid="{BE1211A0-E8F3-446F-94F5-3C82BFF131FA}"/>
    <hyperlink ref="E2" r:id="rId41" display="../../../../:x:/g/personal/a90005_tahoho_com_tw/EZ6f7sib0yJLqgUUF8VVKisB0N_fhnQqCXQFZYZ-bWmqUg?e=MIUHgn&amp;nav=MTVfezAwMDAwMDAwLTAwMDEtMDAwMC0xNDAwLTAwMDAwMDAwMDAwMH0" xr:uid="{35B0C4DA-E400-43F9-AFDC-8FD1B3BF02BC}"/>
    <hyperlink ref="E3" r:id="rId42" display="../../../../:x:/g/personal/a90005_tahoho_com_tw/EZ6f7sib0yJLqgUUF8VVKisB0N_fhnQqCXQFZYZ-bWmqUg?e=YApsng&amp;nav=MTVfezAwMDAwMDAwLTAwMDEtMDAwMC0wNTAwLTAwMDAwMDAwMDAwMH0" xr:uid="{19246DFC-3E19-4659-8242-E77CFA3634E2}"/>
    <hyperlink ref="E4" r:id="rId43" display="../../../../:x:/g/personal/a90005_tahoho_com_tw/EZ6f7sib0yJLqgUUF8VVKisB0N_fhnQqCXQFZYZ-bWmqUg?e=NDiKZa&amp;nav=MTVfezAwMDAwMDAwLTAwMDEtMDAwMC0wMDAwLTAwMDAwMDAwMDAwMH0" xr:uid="{7230D031-41E4-4FC7-9A78-3B7DB61C60AB}"/>
    <hyperlink ref="E5" r:id="rId44" display="../../../../:x:/g/personal/a90005_tahoho_com_tw/EZ6f7sib0yJLqgUUF8VVKisB0N_fhnQqCXQFZYZ-bWmqUg?e=NDiKZa&amp;nav=MTVfezAwMDAwMDAwLTAwMDEtMDAwMC0wMDAwLTAwMDAwMDAwMDAwMH0" xr:uid="{142EB08E-BE72-4445-92DD-283EA92CEA37}"/>
    <hyperlink ref="E6" r:id="rId45" display="../../../../:x:/g/personal/a90005_tahoho_com_tw/EZ6f7sib0yJLqgUUF8VVKisB0N_fhnQqCXQFZYZ-bWmqUg?e=NDiKZa&amp;nav=MTVfezAwMDAwMDAwLTAwMDEtMDAwMC0wMDAwLTAwMDAwMDAwMDAwMH0" xr:uid="{E040E54F-66FB-489A-B1CD-70C65B0C9F91}"/>
    <hyperlink ref="E7" r:id="rId46" display="../../../../:x:/g/personal/a90005_tahoho_com_tw/EZ6f7sib0yJLqgUUF8VVKisB0N_fhnQqCXQFZYZ-bWmqUg?e=FLkpkR&amp;nav=MTVfezAwMDAwMDAwLTAwMDEtMDAwMC0wRjAwLTAwMDAwMDAwMDAwMH0" xr:uid="{D392605E-730D-4572-923D-8E99DCF8F451}"/>
    <hyperlink ref="E8" r:id="rId47" display="../../../../:x:/g/personal/a90005_tahoho_com_tw/EZ6f7sib0yJLqgUUF8VVKisB0N_fhnQqCXQFZYZ-bWmqUg?e=0fCrCC&amp;nav=MTVfezAwMDAwMDAwLTAwMDEtMDAwMC0xMzAwLTAwMDAwMDAwMDAwMH0" xr:uid="{3991130A-AF59-4ED3-BEAC-942FBFDA4DE6}"/>
    <hyperlink ref="E9" r:id="rId48" display="../../../../:x:/g/personal/a90005_tahoho_com_tw/EZ6f7sib0yJLqgUUF8VVKisB0N_fhnQqCXQFZYZ-bWmqUg?e=doX39y&amp;nav=MTVfezAwMDAwMDAwLTAwMDEtMDAwMC0wNDAwLTAwMDAwMDAwMDAwMH0" xr:uid="{C027DC81-6CAD-423D-B30C-89652EA06C54}"/>
    <hyperlink ref="F4" r:id="rId49" display="../../../../:x:/g/personal/a90005_tahoho_com_tw/EZ6ZtitkuLVPlqGZFP1F66wBOVHHztqeggjFJwnXt9jQTQ?e=rV0qI7&amp;nav=MTVfezAwMDAwMDAwLTAwMDEtMDAwMC0wMDAwLTAwMDAwMDAwMDAwMH0" xr:uid="{9C3F2FE0-03DD-4A53-AED6-DD706770D98C}"/>
    <hyperlink ref="F5" r:id="rId50" display="../../../../:x:/g/personal/a90005_tahoho_com_tw/EZ6ZtitkuLVPlqGZFP1F66wBOVHHztqeggjFJwnXt9jQTQ?e=rV0qI7&amp;nav=MTVfezAwMDAwMDAwLTAwMDEtMDAwMC0wMDAwLTAwMDAwMDAwMDAwMH0" xr:uid="{022D8AB8-6FB7-4ABA-AE10-6B8FBA1B1B34}"/>
    <hyperlink ref="F6" r:id="rId51" display="../../../../:x:/g/personal/a90005_tahoho_com_tw/EZ6ZtitkuLVPlqGZFP1F66wBOVHHztqeggjFJwnXt9jQTQ?e=rV0qI7&amp;nav=MTVfezAwMDAwMDAwLTAwMDEtMDAwMC0wMDAwLTAwMDAwMDAwMDAwMH0" xr:uid="{6BBDE8BF-46FF-4484-94ED-3F52B56C6201}"/>
    <hyperlink ref="F9" r:id="rId52" display="../../../../:x:/g/personal/a90005_tahoho_com_tw/EZ6ZtitkuLVPlqGZFP1F66wBOVHHztqeggjFJwnXt9jQTQ?e=hrTNuP&amp;nav=MTVfezAwMDAwMDAwLTAwMDEtMDAwMC0wNDAwLTAwMDAwMDAwMDAwMH0" xr:uid="{0A312B04-E983-4E2F-ABCD-A38F40A0DDB2}"/>
    <hyperlink ref="F3" r:id="rId53" display="../../../../:x:/g/personal/a90005_tahoho_com_tw/EZ6ZtitkuLVPlqGZFP1F66wBOVHHztqeggjFJwnXt9jQTQ?e=VbZhTZ&amp;nav=MTVfezAwMDAwMDAwLTAwMDEtMDAwMC0wNTAwLTAwMDAwMDAwMDAwMH0" xr:uid="{C5805AB1-66B5-45B0-A172-A9245BE0D7C9}"/>
    <hyperlink ref="F2" r:id="rId54" display="../../../../:x:/g/personal/a90005_tahoho_com_tw/EZ6ZtitkuLVPlqGZFP1F66wBOVHHztqeggjFJwnXt9jQTQ?e=O9mzbj&amp;nav=MTVfezAwMDAwMDAwLTAwMDEtMDAwMC0xNDAwLTAwMDAwMDAwMDAwMH0" xr:uid="{EF578952-8994-49E0-9F2F-5383BEAFBA5C}"/>
    <hyperlink ref="J2" r:id="rId55" display="https://tahotw-my.sharepoint.com/:x:/g/personal/a90005_tahoho_com_tw/EV9GCbx_-SBOiiN26-Qto6gBEyX4Itge42i2fUtHRXXENw?e=MvHhf9&amp;nav=MTVfezAwMDAwMDAwLTAwMDEtMDAwMC0xNDAwLTAwMDAwMDAwMDAwMH0" xr:uid="{7AE2A438-3391-4745-A096-A716A8A56DC9}"/>
    <hyperlink ref="J3" r:id="rId56" display="https://tahotw-my.sharepoint.com/:x:/g/personal/a90005_tahoho_com_tw/EV9GCbx_-SBOiiN26-Qto6gBEyX4Itge42i2fUtHRXXENw?e=qMLoBy&amp;nav=MTVfezAwMDAwMDAwLTAwMDEtMDAwMC0wNTAwLTAwMDAwMDAwMDAwMH0" xr:uid="{B9D17B86-7043-4C8F-B78F-BE7FCD5FBE05}"/>
    <hyperlink ref="J4" r:id="rId57" display="https://tahotw-my.sharepoint.com/:x:/g/personal/a90005_tahoho_com_tw/EV9GCbx_-SBOiiN26-Qto6gBEyX4Itge42i2fUtHRXXENw?e=IB9pHI&amp;nav=MTVfezAwMDAwMDAwLTAwMDEtMDAwMC0wMDAwLTAwMDAwMDAwMDAwMH0" xr:uid="{9C2E7A79-091B-4808-A258-999CA9BA5353}"/>
    <hyperlink ref="J5" r:id="rId58" display="https://tahotw-my.sharepoint.com/:x:/g/personal/a90005_tahoho_com_tw/EV9GCbx_-SBOiiN26-Qto6gBEyX4Itge42i2fUtHRXXENw?e=IB9pHI&amp;nav=MTVfezAwMDAwMDAwLTAwMDEtMDAwMC0wMDAwLTAwMDAwMDAwMDAwMH0" xr:uid="{8FAEA68B-4181-4601-B463-4CDDEB0EB7B3}"/>
    <hyperlink ref="J6" r:id="rId59" display="https://tahotw-my.sharepoint.com/:x:/g/personal/a90005_tahoho_com_tw/EV9GCbx_-SBOiiN26-Qto6gBEyX4Itge42i2fUtHRXXENw?e=IB9pHI&amp;nav=MTVfezAwMDAwMDAwLTAwMDEtMDAwMC0wMDAwLTAwMDAwMDAwMDAwMH0" xr:uid="{5A9EF5C7-E4E8-470D-9D9E-4D7EEE546C46}"/>
    <hyperlink ref="J7" r:id="rId60" display="https://tahotw-my.sharepoint.com/:x:/g/personal/a90005_tahoho_com_tw/EV9GCbx_-SBOiiN26-Qto6gBEyX4Itge42i2fUtHRXXENw?e=CR6PaR&amp;nav=MTVfezAwMDAwMDAwLTAwMDEtMDAwMC0wRjAwLTAwMDAwMDAwMDAwMH0" xr:uid="{219FF15B-3EDC-43EF-8B75-9EE26F81CC12}"/>
    <hyperlink ref="J8" r:id="rId61" display="https://tahotw-my.sharepoint.com/:x:/g/personal/a90005_tahoho_com_tw/EV9GCbx_-SBOiiN26-Qto6gBEyX4Itge42i2fUtHRXXENw?e=v1FwTq&amp;nav=MTVfezAwMDAwMDAwLTAwMDEtMDAwMC0xMzAwLTAwMDAwMDAwMDAwMH0" xr:uid="{37E129E7-4403-453B-87BA-2D352C457041}"/>
    <hyperlink ref="J9" r:id="rId62" display="https://tahotw-my.sharepoint.com/:x:/g/personal/a90005_tahoho_com_tw/EV9GCbx_-SBOiiN26-Qto6gBEyX4Itge42i2fUtHRXXENw?e=0S9jZg&amp;nav=MTVfezAwMDAwMDAwLTAwMDEtMDAwMC0wNDAwLTAwMDAwMDAwMDAwMH0" xr:uid="{E9BC28AB-6FE2-4368-842D-06B9B54E8098}"/>
    <hyperlink ref="G5" r:id="rId63" display="https://tahotw-my.sharepoint.com/:x:/g/personal/a90005_tahoho_com_tw/EdJQapGDMmNEpJwfDE09xy0BMNYk7YjakshL-75uibDtHA?e=dLDKcj&amp;nav=MTVfezAwMDAwMDAwLTAwMDEtMDAwMC0wMDAwLTAwMDAwMDAwMDAwMH0" xr:uid="{B0E72FA6-546C-473B-AE4E-B14964D0D105}"/>
    <hyperlink ref="G6" r:id="rId64" display="https://tahotw-my.sharepoint.com/:x:/g/personal/a90005_tahoho_com_tw/EdJQapGDMmNEpJwfDE09xy0BMNYk7YjakshL-75uibDtHA?e=dLDKcj&amp;nav=MTVfezAwMDAwMDAwLTAwMDEtMDAwMC0wMDAwLTAwMDAwMDAwMDAwMH0" xr:uid="{73AC490C-C01C-463D-8F71-7B14AB431B80}"/>
    <hyperlink ref="G3" r:id="rId65" display="https://tahotw-my.sharepoint.com/:x:/g/personal/a90005_tahoho_com_tw/EdJQapGDMmNEpJwfDE09xy0BMNYk7YjakshL-75uibDtHA?e=v52mND&amp;nav=MTVfezAwMDAwMDAwLTAwMDEtMDAwMC0wNTAwLTAwMDAwMDAwMDAwMH0" xr:uid="{A59A3E8E-92E4-4FD2-9CFF-2A10C3FD3F93}"/>
    <hyperlink ref="G4" r:id="rId66" display="https://tahotw-my.sharepoint.com/:x:/g/personal/a90005_tahoho_com_tw/EdJQapGDMmNEpJwfDE09xy0BMNYk7YjakshL-75uibDtHA?e=dLDKcj&amp;nav=MTVfezAwMDAwMDAwLTAwMDEtMDAwMC0wMDAwLTAwMDAwMDAwMDAwMH0" xr:uid="{9D6878BD-BD85-4154-A782-06EF98003647}"/>
    <hyperlink ref="G2" r:id="rId67" display="https://tahotw-my.sharepoint.com/:x:/g/personal/a90005_tahoho_com_tw/EdJQapGDMmNEpJwfDE09xy0BMNYk7YjakshL-75uibDtHA?e=Oup4e8&amp;nav=MTVfezAwMDAwMDAwLTAwMDEtMDAwMC0xNDAwLTAwMDAwMDAwMDAwMH0" xr:uid="{5A483967-641F-4084-A4A8-0DD5706276D1}"/>
    <hyperlink ref="G7" r:id="rId68" display="https://tahotw-my.sharepoint.com/:x:/g/personal/a90005_tahoho_com_tw/EbsvitQYsGJGtwhqptxTEt4BYA9ufoDNzXfbczpD92ZTag?e=ovvy6e&amp;nav=MTVfezAwMDAwMDAwLTAwMDEtMDAwMC0wRjAwLTAwMDAwMDAwMDAwMH0" xr:uid="{320A2BC5-A1EF-4ED0-A0D7-41006DF7CD94}"/>
    <hyperlink ref="G8" r:id="rId69" display="https://tahotw-my.sharepoint.com/:x:/g/personal/a90005_tahoho_com_tw/EbsvitQYsGJGtwhqptxTEt4BYA9ufoDNzXfbczpD92ZTag?e=eBq1HY&amp;nav=MTVfezAwMDAwMDAwLTAwMDEtMDAwMC0xMzAwLTAwMDAwMDAwMDAwMH0" xr:uid="{670381FF-7C1E-4578-977F-2F69A0B3EDCC}"/>
    <hyperlink ref="G9" r:id="rId70" display="https://tahotw-my.sharepoint.com/:x:/g/personal/a90005_tahoho_com_tw/EbsvitQYsGJGtwhqptxTEt4BYA9ufoDNzXfbczpD92ZTag?e=76iOyj&amp;nav=MTVfezAwMDAwMDAwLTAwMDEtMDAwMC0wNDAwLTAwMDAwMDAwMDAwMH0" xr:uid="{7CAAF184-A866-48D0-A082-E7528C26BBA1}"/>
  </hyperlinks>
  <pageMargins left="0.7" right="0.7" top="0.75" bottom="0.75" header="0.3" footer="0.3"/>
  <pageSetup paperSize="9" orientation="portrait" r:id="rId7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3D64-74BF-499E-BAEF-B233E27434EF}">
  <dimension ref="A1:K44"/>
  <sheetViews>
    <sheetView workbookViewId="0">
      <selection activeCell="D15" sqref="D15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>
        <v>0.99</v>
      </c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-1.0000000000000009E-2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16.399999999999999" customHeight="1" thickBot="1">
      <c r="A26" s="173" t="s">
        <v>48</v>
      </c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79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109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34">
      <c r="A30" s="11" t="s">
        <v>23</v>
      </c>
      <c r="B30" s="12" t="s">
        <v>52</v>
      </c>
      <c r="C30" s="13"/>
      <c r="D30" s="13"/>
      <c r="E30" s="13"/>
      <c r="F30" s="13"/>
      <c r="G30" s="13"/>
      <c r="H30" s="13"/>
      <c r="I30" s="13"/>
      <c r="J30" s="13"/>
      <c r="K30" s="125"/>
    </row>
    <row r="31" spans="1:11" ht="34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34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4"/>
      <c r="J32" s="14"/>
      <c r="K32" s="104"/>
    </row>
    <row r="33" spans="1:11" ht="34">
      <c r="A33" s="11" t="s">
        <v>32</v>
      </c>
      <c r="B33" s="12" t="s">
        <v>55</v>
      </c>
      <c r="C33" s="13"/>
      <c r="D33" s="14"/>
      <c r="E33" s="13"/>
      <c r="F33" s="14"/>
      <c r="G33" s="13"/>
      <c r="H33" s="13"/>
      <c r="I33" s="13"/>
      <c r="J33" s="14"/>
      <c r="K33" s="104"/>
    </row>
    <row r="34" spans="1:11" ht="80.5" customHeight="1" thickBot="1">
      <c r="A34" s="15" t="s">
        <v>34</v>
      </c>
      <c r="B34" s="16" t="s">
        <v>56</v>
      </c>
      <c r="C34" s="17"/>
      <c r="D34" s="18"/>
      <c r="E34" s="18"/>
      <c r="F34" s="18"/>
      <c r="G34" s="17"/>
      <c r="H34" s="17"/>
      <c r="I34" s="17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44" priority="2">
      <formula>C2&gt;C10</formula>
    </cfRule>
  </conditionalFormatting>
  <conditionalFormatting sqref="C20:K20">
    <cfRule type="expression" dxfId="43" priority="4">
      <formula>C4&lt;C12</formula>
    </cfRule>
  </conditionalFormatting>
  <conditionalFormatting sqref="C21:K24">
    <cfRule type="expression" dxfId="42" priority="1">
      <formula>C5&gt;C13</formula>
    </cfRule>
  </conditionalFormatting>
  <conditionalFormatting sqref="C25:K25">
    <cfRule type="expression" dxfId="41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ADD9-A9E0-4414-9854-1439E0F9DFA2}">
  <dimension ref="A1:K99"/>
  <sheetViews>
    <sheetView workbookViewId="0">
      <selection activeCell="C4" sqref="C4:K6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91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>
        <v>0.93</v>
      </c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-6.9999999999999951E-2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16.399999999999999" customHeight="1" thickBot="1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4"/>
    </row>
    <row r="27" spans="1:11" ht="289.5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7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34">
      <c r="A30" s="11" t="s">
        <v>23</v>
      </c>
      <c r="B30" s="12" t="s">
        <v>52</v>
      </c>
      <c r="C30" s="13"/>
      <c r="D30" s="13"/>
      <c r="E30" s="13"/>
      <c r="F30" s="13"/>
      <c r="G30" s="13"/>
      <c r="H30" s="13"/>
      <c r="I30" s="13"/>
      <c r="J30" s="128"/>
      <c r="K30" s="125"/>
    </row>
    <row r="31" spans="1:11" ht="106" customHeight="1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35.65" customHeight="1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3"/>
      <c r="J32" s="14"/>
      <c r="K32" s="104"/>
    </row>
    <row r="33" spans="1:11" ht="34">
      <c r="A33" s="11" t="s">
        <v>32</v>
      </c>
      <c r="B33" s="12" t="s">
        <v>55</v>
      </c>
      <c r="C33" s="13"/>
      <c r="D33" s="14"/>
      <c r="E33" s="13"/>
      <c r="F33" s="13"/>
      <c r="G33" s="13"/>
      <c r="H33" s="13"/>
      <c r="I33" s="13"/>
      <c r="J33" s="14"/>
      <c r="K33" s="104"/>
    </row>
    <row r="34" spans="1:11" ht="79" customHeight="1" thickBot="1">
      <c r="A34" s="15" t="s">
        <v>34</v>
      </c>
      <c r="B34" s="16" t="s">
        <v>56</v>
      </c>
      <c r="C34" s="17"/>
      <c r="D34" s="18"/>
      <c r="E34" s="17"/>
      <c r="F34" s="18"/>
      <c r="G34" s="17"/>
      <c r="H34" s="17"/>
      <c r="I34" s="17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  <row r="99" spans="1:1">
      <c r="A99">
        <v>33</v>
      </c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40" priority="2">
      <formula>C2&gt;C10</formula>
    </cfRule>
  </conditionalFormatting>
  <conditionalFormatting sqref="C20:K20">
    <cfRule type="expression" dxfId="39" priority="4">
      <formula>C4&lt;C12</formula>
    </cfRule>
  </conditionalFormatting>
  <conditionalFormatting sqref="C21:K24">
    <cfRule type="expression" dxfId="38" priority="1">
      <formula>C5&gt;C13</formula>
    </cfRule>
  </conditionalFormatting>
  <conditionalFormatting sqref="C25:K25">
    <cfRule type="expression" dxfId="37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9BD1-1C86-4877-AE22-59B185EBC6B4}">
  <dimension ref="A1:K44"/>
  <sheetViews>
    <sheetView workbookViewId="0">
      <selection activeCell="M13" sqref="M13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  <col min="12" max="12" width="15.7265625" customWidth="1"/>
  </cols>
  <sheetData>
    <row r="1" spans="1:11" ht="17.5" thickBot="1">
      <c r="A1" s="165" t="s">
        <v>9</v>
      </c>
      <c r="B1" s="166"/>
      <c r="C1" s="103" t="s">
        <v>0</v>
      </c>
      <c r="D1" s="103" t="s">
        <v>1</v>
      </c>
      <c r="E1" s="103" t="s">
        <v>2</v>
      </c>
      <c r="F1" s="103" t="s">
        <v>3</v>
      </c>
      <c r="G1" s="103" t="s">
        <v>4</v>
      </c>
      <c r="H1" s="103" t="s">
        <v>5</v>
      </c>
      <c r="I1" s="103" t="s">
        <v>6</v>
      </c>
      <c r="J1" s="103" t="s">
        <v>7</v>
      </c>
      <c r="K1" s="127" t="s">
        <v>8</v>
      </c>
    </row>
    <row r="2" spans="1:11">
      <c r="A2" s="167" t="s">
        <v>39</v>
      </c>
      <c r="B2" s="5" t="s">
        <v>40</v>
      </c>
      <c r="C2" s="149"/>
      <c r="D2" s="149"/>
      <c r="E2" s="149"/>
      <c r="F2" s="149"/>
      <c r="G2" s="149"/>
      <c r="H2" s="149"/>
      <c r="I2" s="149"/>
      <c r="J2" s="149"/>
      <c r="K2" s="156"/>
    </row>
    <row r="3" spans="1:11">
      <c r="A3" s="168"/>
      <c r="B3" s="64" t="s">
        <v>41</v>
      </c>
      <c r="C3" s="150"/>
      <c r="D3" s="150"/>
      <c r="E3" s="150"/>
      <c r="F3" s="150"/>
      <c r="G3" s="150"/>
      <c r="H3" s="150"/>
      <c r="I3" s="150"/>
      <c r="J3" s="150"/>
      <c r="K3" s="155"/>
    </row>
    <row r="4" spans="1:11">
      <c r="A4" s="168"/>
      <c r="B4" s="64" t="s">
        <v>42</v>
      </c>
      <c r="C4" s="151"/>
      <c r="D4" s="151"/>
      <c r="E4" s="151"/>
      <c r="F4" s="151"/>
      <c r="G4" s="151"/>
      <c r="H4" s="151"/>
      <c r="I4" s="151"/>
      <c r="J4" s="151"/>
      <c r="K4" s="153"/>
    </row>
    <row r="5" spans="1:11">
      <c r="A5" s="168"/>
      <c r="B5" s="64" t="s">
        <v>23</v>
      </c>
      <c r="C5" s="151"/>
      <c r="D5" s="151"/>
      <c r="E5" s="151"/>
      <c r="F5" s="151"/>
      <c r="G5" s="151"/>
      <c r="H5" s="151"/>
      <c r="I5" s="151"/>
      <c r="J5" s="151"/>
      <c r="K5" s="153"/>
    </row>
    <row r="6" spans="1:11">
      <c r="A6" s="168"/>
      <c r="B6" s="64" t="s">
        <v>26</v>
      </c>
      <c r="C6" s="151"/>
      <c r="D6" s="151"/>
      <c r="E6" s="151"/>
      <c r="F6" s="151"/>
      <c r="G6" s="151"/>
      <c r="H6" s="151"/>
      <c r="I6" s="151"/>
      <c r="J6" s="151"/>
      <c r="K6" s="153"/>
    </row>
    <row r="7" spans="1:11">
      <c r="A7" s="168"/>
      <c r="B7" s="64" t="s">
        <v>43</v>
      </c>
      <c r="C7" s="151"/>
      <c r="D7" s="151"/>
      <c r="E7" s="151"/>
      <c r="F7" s="151"/>
      <c r="G7" s="151"/>
      <c r="H7" s="151"/>
      <c r="I7" s="151"/>
      <c r="J7" s="151"/>
      <c r="K7" s="153"/>
    </row>
    <row r="8" spans="1:11">
      <c r="A8" s="168"/>
      <c r="B8" s="64" t="s">
        <v>44</v>
      </c>
      <c r="C8" s="151"/>
      <c r="D8" s="151"/>
      <c r="E8" s="151"/>
      <c r="F8" s="151"/>
      <c r="G8" s="151"/>
      <c r="H8" s="151"/>
      <c r="I8" s="151"/>
      <c r="J8" s="151"/>
      <c r="K8" s="153"/>
    </row>
    <row r="9" spans="1:11">
      <c r="A9" s="169"/>
      <c r="B9" s="10" t="s">
        <v>45</v>
      </c>
      <c r="C9" s="152"/>
      <c r="D9" s="152"/>
      <c r="E9" s="152"/>
      <c r="F9" s="152"/>
      <c r="G9" s="152"/>
      <c r="H9" s="152"/>
      <c r="I9" s="152"/>
      <c r="J9" s="152"/>
      <c r="K9" s="154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-1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19.5">
      <c r="A26" s="176"/>
      <c r="B26" s="177"/>
      <c r="C26" s="177"/>
      <c r="D26" s="177"/>
      <c r="E26" s="177"/>
      <c r="F26" s="177"/>
      <c r="G26" s="177"/>
      <c r="H26" s="177"/>
      <c r="I26" s="177"/>
      <c r="J26" s="177"/>
      <c r="K26" s="178"/>
    </row>
    <row r="27" spans="1:11" ht="248.5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8.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238.5" customHeight="1">
      <c r="A30" s="11" t="s">
        <v>23</v>
      </c>
      <c r="B30" s="12" t="s">
        <v>52</v>
      </c>
      <c r="C30" s="13"/>
      <c r="D30" s="13"/>
      <c r="E30" s="13"/>
      <c r="F30" s="13"/>
      <c r="G30" s="13"/>
      <c r="H30" s="13"/>
      <c r="I30" s="13"/>
      <c r="J30" s="13"/>
      <c r="K30" s="125"/>
    </row>
    <row r="31" spans="1:11" ht="170.5" customHeight="1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32" customHeight="1">
      <c r="A32" s="11" t="s">
        <v>29</v>
      </c>
      <c r="B32" s="12" t="s">
        <v>54</v>
      </c>
      <c r="C32" s="14"/>
      <c r="D32" s="14"/>
      <c r="E32" s="13"/>
      <c r="F32" s="13"/>
      <c r="G32" s="13"/>
      <c r="H32" s="14"/>
      <c r="I32" s="14"/>
      <c r="J32" s="14"/>
      <c r="K32" s="104"/>
    </row>
    <row r="33" spans="1:11" ht="212.5" customHeight="1">
      <c r="A33" s="11" t="s">
        <v>32</v>
      </c>
      <c r="B33" s="12" t="s">
        <v>55</v>
      </c>
      <c r="C33" s="13"/>
      <c r="D33" s="14"/>
      <c r="E33" s="13"/>
      <c r="F33" s="14"/>
      <c r="G33" s="13"/>
      <c r="H33" s="14"/>
      <c r="I33" s="13"/>
      <c r="J33" s="14"/>
      <c r="K33" s="104"/>
    </row>
    <row r="34" spans="1:11" ht="73" customHeight="1" thickBot="1">
      <c r="A34" s="15" t="s">
        <v>34</v>
      </c>
      <c r="B34" s="16" t="s">
        <v>56</v>
      </c>
      <c r="C34" s="17"/>
      <c r="D34" s="18"/>
      <c r="E34" s="18"/>
      <c r="F34" s="18"/>
      <c r="G34" s="18"/>
      <c r="H34" s="18"/>
      <c r="I34" s="18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36" priority="2">
      <formula>C2&gt;C10</formula>
    </cfRule>
  </conditionalFormatting>
  <conditionalFormatting sqref="C20:K20">
    <cfRule type="expression" dxfId="35" priority="4">
      <formula>C4&lt;C12</formula>
    </cfRule>
  </conditionalFormatting>
  <conditionalFormatting sqref="C21:K24">
    <cfRule type="expression" dxfId="34" priority="1">
      <formula>C5&gt;C13</formula>
    </cfRule>
  </conditionalFormatting>
  <conditionalFormatting sqref="C25:K25">
    <cfRule type="expression" dxfId="33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308F-52F7-46F9-8571-28883915CB59}">
  <dimension ref="A1:K44"/>
  <sheetViews>
    <sheetView workbookViewId="0">
      <selection activeCell="A26" sqref="A26:K26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/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-1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16.399999999999999" customHeight="1" thickBot="1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82.64999999999998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4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230.5" customHeight="1">
      <c r="A30" s="11" t="s">
        <v>23</v>
      </c>
      <c r="B30" s="12" t="s">
        <v>52</v>
      </c>
      <c r="C30" s="13"/>
      <c r="D30" s="92"/>
      <c r="E30" s="92"/>
      <c r="F30" s="13"/>
      <c r="G30" s="92"/>
      <c r="H30" s="13"/>
      <c r="I30" s="92"/>
      <c r="J30" s="13"/>
      <c r="K30" s="125"/>
    </row>
    <row r="31" spans="1:11" ht="173.15" customHeight="1">
      <c r="A31" s="11" t="s">
        <v>26</v>
      </c>
      <c r="B31" s="12" t="s">
        <v>53</v>
      </c>
      <c r="C31" s="13"/>
      <c r="D31" s="13"/>
      <c r="E31" s="92"/>
      <c r="F31" s="13"/>
      <c r="G31" s="13"/>
      <c r="H31" s="13"/>
      <c r="I31" s="13"/>
      <c r="J31" s="13"/>
      <c r="K31" s="124"/>
    </row>
    <row r="32" spans="1:11" ht="163.5" customHeight="1">
      <c r="A32" s="11" t="s">
        <v>29</v>
      </c>
      <c r="B32" s="12" t="s">
        <v>54</v>
      </c>
      <c r="C32" s="14"/>
      <c r="D32" s="14"/>
      <c r="E32" s="93"/>
      <c r="F32" s="14"/>
      <c r="G32" s="14"/>
      <c r="H32" s="14"/>
      <c r="I32" s="14"/>
      <c r="J32" s="14"/>
      <c r="K32" s="104"/>
    </row>
    <row r="33" spans="1:11" ht="148" customHeight="1">
      <c r="A33" s="11" t="s">
        <v>32</v>
      </c>
      <c r="B33" s="12" t="s">
        <v>55</v>
      </c>
      <c r="C33" s="13"/>
      <c r="D33" s="14"/>
      <c r="E33" s="92"/>
      <c r="F33" s="14"/>
      <c r="G33" s="13"/>
      <c r="H33" s="13"/>
      <c r="I33" s="13"/>
      <c r="J33" s="14"/>
      <c r="K33" s="104"/>
    </row>
    <row r="34" spans="1:11" ht="82" customHeight="1" thickBot="1">
      <c r="A34" s="15" t="s">
        <v>34</v>
      </c>
      <c r="B34" s="16" t="s">
        <v>56</v>
      </c>
      <c r="C34" s="17"/>
      <c r="D34" s="17"/>
      <c r="E34" s="17"/>
      <c r="F34" s="17"/>
      <c r="G34" s="18"/>
      <c r="H34" s="18"/>
      <c r="I34" s="18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32" priority="2">
      <formula>C2&gt;C10</formula>
    </cfRule>
  </conditionalFormatting>
  <conditionalFormatting sqref="C20:K20">
    <cfRule type="expression" dxfId="31" priority="4">
      <formula>C4&lt;C12</formula>
    </cfRule>
  </conditionalFormatting>
  <conditionalFormatting sqref="C21:K24">
    <cfRule type="expression" dxfId="30" priority="1">
      <formula>C5&gt;C13</formula>
    </cfRule>
  </conditionalFormatting>
  <conditionalFormatting sqref="C25:K25">
    <cfRule type="expression" dxfId="29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B7A0-EFB4-4D8C-90B5-D1AC54C023C4}">
  <dimension ref="A1:K44"/>
  <sheetViews>
    <sheetView workbookViewId="0">
      <selection activeCell="A26" sqref="A26:K26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/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-1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16.399999999999999" customHeight="1" thickBot="1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32.5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3.6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5.5" customHeight="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162" customHeight="1">
      <c r="A30" s="11" t="s">
        <v>23</v>
      </c>
      <c r="B30" s="12" t="s">
        <v>52</v>
      </c>
      <c r="C30" s="13"/>
      <c r="D30" s="92"/>
      <c r="E30" s="13"/>
      <c r="F30" s="13"/>
      <c r="G30" s="92"/>
      <c r="H30" s="92"/>
      <c r="I30" s="92"/>
      <c r="J30" s="13"/>
      <c r="K30" s="125"/>
    </row>
    <row r="31" spans="1:11" ht="34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58.15" customHeight="1">
      <c r="A32" s="11" t="s">
        <v>29</v>
      </c>
      <c r="B32" s="12" t="s">
        <v>54</v>
      </c>
      <c r="C32" s="14"/>
      <c r="D32" s="93"/>
      <c r="E32" s="93"/>
      <c r="F32" s="93"/>
      <c r="G32" s="93"/>
      <c r="H32" s="93"/>
      <c r="I32" s="93"/>
      <c r="J32" s="14"/>
      <c r="K32" s="104"/>
    </row>
    <row r="33" spans="1:11" ht="170.5" customHeight="1">
      <c r="A33" s="11" t="s">
        <v>32</v>
      </c>
      <c r="B33" s="12" t="s">
        <v>55</v>
      </c>
      <c r="C33" s="13"/>
      <c r="D33" s="14"/>
      <c r="E33" s="92"/>
      <c r="F33" s="14"/>
      <c r="G33" s="13"/>
      <c r="H33" s="92"/>
      <c r="I33" s="13"/>
      <c r="J33" s="14"/>
      <c r="K33" s="104"/>
    </row>
    <row r="34" spans="1:11" ht="84.65" customHeight="1" thickBot="1">
      <c r="A34" s="15" t="s">
        <v>34</v>
      </c>
      <c r="B34" s="16" t="s">
        <v>56</v>
      </c>
      <c r="C34" s="17"/>
      <c r="D34" s="17"/>
      <c r="E34" s="17"/>
      <c r="F34" s="17"/>
      <c r="G34" s="17"/>
      <c r="H34" s="17"/>
      <c r="I34" s="17"/>
      <c r="J34" s="17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28" priority="2">
      <formula>C2&gt;C10</formula>
    </cfRule>
  </conditionalFormatting>
  <conditionalFormatting sqref="C20:K20">
    <cfRule type="expression" dxfId="27" priority="4">
      <formula>C4&lt;C12</formula>
    </cfRule>
  </conditionalFormatting>
  <conditionalFormatting sqref="C21:K24">
    <cfRule type="expression" dxfId="26" priority="1">
      <formula>C5&gt;C13</formula>
    </cfRule>
  </conditionalFormatting>
  <conditionalFormatting sqref="C25:K25">
    <cfRule type="expression" dxfId="25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7BCE-E5F7-4559-AE7D-7DBC520DD726}">
  <dimension ref="A1:K44"/>
  <sheetViews>
    <sheetView workbookViewId="0">
      <selection activeCell="A26" sqref="A26:K26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117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/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-1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16.399999999999999" customHeight="1" thickBot="1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56.5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2.1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242.5" customHeight="1">
      <c r="A30" s="11" t="s">
        <v>23</v>
      </c>
      <c r="B30" s="12" t="s">
        <v>52</v>
      </c>
      <c r="C30" s="13"/>
      <c r="D30" s="92"/>
      <c r="E30" s="13"/>
      <c r="F30" s="13"/>
      <c r="G30" s="13"/>
      <c r="H30" s="92"/>
      <c r="I30" s="13"/>
      <c r="J30" s="13"/>
      <c r="K30" s="125"/>
    </row>
    <row r="31" spans="1:11" ht="34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46.15" customHeight="1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3"/>
      <c r="J32" s="14"/>
      <c r="K32" s="104"/>
    </row>
    <row r="33" spans="1:11" ht="34">
      <c r="A33" s="11" t="s">
        <v>32</v>
      </c>
      <c r="B33" s="12" t="s">
        <v>55</v>
      </c>
      <c r="C33" s="13"/>
      <c r="D33" s="14"/>
      <c r="E33" s="92"/>
      <c r="F33" s="92"/>
      <c r="G33" s="92"/>
      <c r="H33" s="92"/>
      <c r="I33" s="13"/>
      <c r="J33" s="14"/>
      <c r="K33" s="104"/>
    </row>
    <row r="34" spans="1:11" ht="63" customHeight="1" thickBot="1">
      <c r="A34" s="15" t="s">
        <v>34</v>
      </c>
      <c r="B34" s="16" t="s">
        <v>56</v>
      </c>
      <c r="C34" s="18"/>
      <c r="D34" s="18"/>
      <c r="E34" s="18"/>
      <c r="F34" s="18"/>
      <c r="G34" s="18"/>
      <c r="H34" s="18"/>
      <c r="I34" s="18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24" priority="2">
      <formula>C2&gt;C10</formula>
    </cfRule>
  </conditionalFormatting>
  <conditionalFormatting sqref="C20:K20">
    <cfRule type="expression" dxfId="23" priority="4">
      <formula>C4&lt;C12</formula>
    </cfRule>
  </conditionalFormatting>
  <conditionalFormatting sqref="C21:K24">
    <cfRule type="expression" dxfId="22" priority="1">
      <formula>C5&gt;C13</formula>
    </cfRule>
  </conditionalFormatting>
  <conditionalFormatting sqref="C25:K25">
    <cfRule type="expression" dxfId="21" priority="3">
      <formula>C9&lt;C17</formula>
    </cfRule>
  </conditionalFormatting>
  <pageMargins left="0.7" right="0.7" top="0.75" bottom="0.75" header="0.3" footer="0.3"/>
  <pageSetup paperSize="9" scale="3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63B3-4CA3-4BBC-AD17-B9252545B337}">
  <dimension ref="A1:K44"/>
  <sheetViews>
    <sheetView zoomScale="80" zoomScaleNormal="80" workbookViewId="0">
      <selection activeCell="A26" sqref="A26:K26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  <col min="12" max="12" width="10.906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/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 t="shared" si="0"/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>H5-H13</f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-1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21.65" customHeight="1" thickBot="1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28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3.6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67.5" customHeight="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241" customHeight="1">
      <c r="A30" s="11" t="s">
        <v>23</v>
      </c>
      <c r="B30" s="12" t="s">
        <v>52</v>
      </c>
      <c r="C30" s="13"/>
      <c r="D30" s="92"/>
      <c r="E30" s="13"/>
      <c r="F30" s="13"/>
      <c r="G30" s="13"/>
      <c r="H30" s="13"/>
      <c r="I30" s="13"/>
      <c r="J30" s="13"/>
      <c r="K30" s="125"/>
    </row>
    <row r="31" spans="1:11" ht="158.5" customHeight="1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73.5" customHeight="1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4"/>
      <c r="J32" s="14"/>
      <c r="K32" s="104"/>
    </row>
    <row r="33" spans="1:11" ht="124.5" customHeight="1">
      <c r="A33" s="11" t="s">
        <v>32</v>
      </c>
      <c r="B33" s="12" t="s">
        <v>55</v>
      </c>
      <c r="C33" s="13"/>
      <c r="D33" s="14"/>
      <c r="E33" s="13"/>
      <c r="F33" s="14"/>
      <c r="G33" s="13"/>
      <c r="H33" s="14"/>
      <c r="I33" s="13"/>
      <c r="J33" s="14"/>
      <c r="K33" s="104"/>
    </row>
    <row r="34" spans="1:11" ht="77.150000000000006" customHeight="1" thickBot="1">
      <c r="A34" s="15" t="s">
        <v>34</v>
      </c>
      <c r="B34" s="16" t="s">
        <v>56</v>
      </c>
      <c r="C34" s="17"/>
      <c r="D34" s="17"/>
      <c r="E34" s="17"/>
      <c r="F34" s="17"/>
      <c r="G34" s="17"/>
      <c r="H34" s="17"/>
      <c r="I34" s="17"/>
      <c r="J34" s="17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20" priority="2">
      <formula>C2&gt;C10</formula>
    </cfRule>
  </conditionalFormatting>
  <conditionalFormatting sqref="C20:K20">
    <cfRule type="expression" dxfId="19" priority="4">
      <formula>C4&lt;C12</formula>
    </cfRule>
  </conditionalFormatting>
  <conditionalFormatting sqref="C21:K24">
    <cfRule type="expression" dxfId="18" priority="1">
      <formula>C5&gt;C13</formula>
    </cfRule>
  </conditionalFormatting>
  <conditionalFormatting sqref="C25:K25">
    <cfRule type="expression" dxfId="17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32B4-0E6F-481E-84B9-4EF5377A28E2}">
  <dimension ref="A1:K44"/>
  <sheetViews>
    <sheetView workbookViewId="0">
      <selection activeCell="A26" sqref="A26:K26"/>
    </sheetView>
  </sheetViews>
  <sheetFormatPr defaultRowHeight="17"/>
  <cols>
    <col min="1" max="1" width="18.36328125" customWidth="1"/>
    <col min="2" max="2" width="21.453125" style="1" customWidth="1"/>
    <col min="3" max="11" width="17.453125" customWidth="1"/>
  </cols>
  <sheetData>
    <row r="1" spans="1:11" ht="17.5" thickBot="1">
      <c r="A1" s="165" t="s">
        <v>9</v>
      </c>
      <c r="B1" s="166"/>
      <c r="C1" s="75" t="s">
        <v>0</v>
      </c>
      <c r="D1" s="75" t="s">
        <v>1</v>
      </c>
      <c r="E1" s="75" t="s">
        <v>2</v>
      </c>
      <c r="F1" s="75" t="s">
        <v>3</v>
      </c>
      <c r="G1" s="75" t="s">
        <v>4</v>
      </c>
      <c r="H1" s="75" t="s">
        <v>5</v>
      </c>
      <c r="I1" s="75" t="s">
        <v>6</v>
      </c>
      <c r="J1" s="75" t="s">
        <v>7</v>
      </c>
      <c r="K1" s="116" t="s">
        <v>8</v>
      </c>
    </row>
    <row r="2" spans="1:11">
      <c r="A2" s="167" t="s">
        <v>39</v>
      </c>
      <c r="B2" s="5" t="s">
        <v>40</v>
      </c>
      <c r="C2" s="6"/>
      <c r="D2" s="6"/>
      <c r="E2" s="6"/>
      <c r="F2" s="6"/>
      <c r="G2" s="6"/>
      <c r="H2" s="6"/>
      <c r="I2" s="6"/>
      <c r="J2" s="6"/>
      <c r="K2" s="112"/>
    </row>
    <row r="3" spans="1:11">
      <c r="A3" s="168"/>
      <c r="B3" s="64" t="s">
        <v>41</v>
      </c>
      <c r="C3" s="60"/>
      <c r="D3" s="60"/>
      <c r="E3" s="60"/>
      <c r="F3" s="60"/>
      <c r="G3" s="60"/>
      <c r="H3" s="60"/>
      <c r="I3" s="60"/>
      <c r="J3" s="60"/>
      <c r="K3" s="113"/>
    </row>
    <row r="4" spans="1:11">
      <c r="A4" s="168"/>
      <c r="B4" s="64" t="s">
        <v>42</v>
      </c>
      <c r="C4" s="8"/>
      <c r="D4" s="8"/>
      <c r="E4" s="8"/>
      <c r="F4" s="8"/>
      <c r="G4" s="8"/>
      <c r="H4" s="8"/>
      <c r="I4" s="8"/>
      <c r="J4" s="8"/>
      <c r="K4" s="114"/>
    </row>
    <row r="5" spans="1:11">
      <c r="A5" s="168"/>
      <c r="B5" s="64" t="s">
        <v>23</v>
      </c>
      <c r="C5" s="8"/>
      <c r="D5" s="8"/>
      <c r="E5" s="8"/>
      <c r="F5" s="8"/>
      <c r="G5" s="8"/>
      <c r="H5" s="8"/>
      <c r="I5" s="8"/>
      <c r="J5" s="8"/>
      <c r="K5" s="114"/>
    </row>
    <row r="6" spans="1:11">
      <c r="A6" s="168"/>
      <c r="B6" s="64" t="s">
        <v>26</v>
      </c>
      <c r="C6" s="8"/>
      <c r="D6" s="8"/>
      <c r="E6" s="8"/>
      <c r="F6" s="8"/>
      <c r="G6" s="8"/>
      <c r="H6" s="8"/>
      <c r="I6" s="8"/>
      <c r="J6" s="8"/>
      <c r="K6" s="114"/>
    </row>
    <row r="7" spans="1:11">
      <c r="A7" s="168"/>
      <c r="B7" s="64" t="s">
        <v>43</v>
      </c>
      <c r="C7" s="8"/>
      <c r="D7" s="8"/>
      <c r="E7" s="8"/>
      <c r="F7" s="8"/>
      <c r="G7" s="8"/>
      <c r="H7" s="8"/>
      <c r="I7" s="8"/>
      <c r="J7" s="8"/>
      <c r="K7" s="114"/>
    </row>
    <row r="8" spans="1:11">
      <c r="A8" s="168"/>
      <c r="B8" s="64" t="s">
        <v>44</v>
      </c>
      <c r="C8" s="8"/>
      <c r="D8" s="8"/>
      <c r="E8" s="8"/>
      <c r="F8" s="8"/>
      <c r="G8" s="8"/>
      <c r="H8" s="8"/>
      <c r="I8" s="8"/>
      <c r="J8" s="8"/>
      <c r="K8" s="114"/>
    </row>
    <row r="9" spans="1:11" ht="17.5" thickBot="1">
      <c r="A9" s="169"/>
      <c r="B9" s="10" t="s">
        <v>45</v>
      </c>
      <c r="C9" s="87"/>
      <c r="D9" s="87"/>
      <c r="E9" s="87"/>
      <c r="F9" s="87"/>
      <c r="G9" s="87"/>
      <c r="H9" s="87"/>
      <c r="I9" s="87"/>
      <c r="J9" s="87"/>
      <c r="K9" s="115"/>
    </row>
    <row r="10" spans="1:11">
      <c r="A10" s="167" t="s">
        <v>46</v>
      </c>
      <c r="B10" s="5" t="s">
        <v>13</v>
      </c>
      <c r="C10" s="6">
        <f>KPI目標說明!E4</f>
        <v>1</v>
      </c>
      <c r="D10" s="6">
        <f>KPI目標說明!G4</f>
        <v>5</v>
      </c>
      <c r="E10" s="6">
        <f>KPI目標說明!I4</f>
        <v>10</v>
      </c>
      <c r="F10" s="6">
        <f>KPI目標說明!K4</f>
        <v>25</v>
      </c>
      <c r="G10" s="6">
        <f>KPI目標說明!M4</f>
        <v>5</v>
      </c>
      <c r="H10" s="6">
        <f>KPI目標說明!O4</f>
        <v>10</v>
      </c>
      <c r="I10" s="6">
        <f>KPI目標說明!Q4</f>
        <v>2</v>
      </c>
      <c r="J10" s="6">
        <f>KPI目標說明!S4</f>
        <v>6</v>
      </c>
      <c r="K10" s="112">
        <f>KPI目標說明!U4</f>
        <v>25</v>
      </c>
    </row>
    <row r="11" spans="1:11">
      <c r="A11" s="168"/>
      <c r="B11" s="64" t="s">
        <v>41</v>
      </c>
      <c r="C11" s="60">
        <f>KPI目標說明!E5</f>
        <v>0.1</v>
      </c>
      <c r="D11" s="60">
        <f>KPI目標說明!G5</f>
        <v>0.05</v>
      </c>
      <c r="E11" s="60">
        <f>KPI目標說明!I5</f>
        <v>0.1</v>
      </c>
      <c r="F11" s="60">
        <f>KPI目標說明!K5</f>
        <v>0.1</v>
      </c>
      <c r="G11" s="60">
        <f>KPI目標說明!M5</f>
        <v>0.1</v>
      </c>
      <c r="H11" s="60">
        <f>KPI目標說明!O5</f>
        <v>0.05</v>
      </c>
      <c r="I11" s="60">
        <f>KPI目標說明!Q5</f>
        <v>0.03</v>
      </c>
      <c r="J11" s="60">
        <f>KPI目標說明!S5</f>
        <v>0.05</v>
      </c>
      <c r="K11" s="113">
        <f>KPI目標說明!U5</f>
        <v>0.1</v>
      </c>
    </row>
    <row r="12" spans="1:11">
      <c r="A12" s="168"/>
      <c r="B12" s="64" t="s">
        <v>20</v>
      </c>
      <c r="C12" s="8">
        <f>KPI目標說明!E6</f>
        <v>12</v>
      </c>
      <c r="D12" s="8">
        <f>KPI目標說明!G6</f>
        <v>12</v>
      </c>
      <c r="E12" s="8">
        <f>KPI目標說明!I6</f>
        <v>12</v>
      </c>
      <c r="F12" s="8">
        <f>KPI目標說明!K6</f>
        <v>12</v>
      </c>
      <c r="G12" s="8">
        <f>KPI目標說明!M6</f>
        <v>12</v>
      </c>
      <c r="H12" s="8">
        <f>KPI目標說明!O6</f>
        <v>12</v>
      </c>
      <c r="I12" s="8">
        <f>KPI目標說明!Q6</f>
        <v>12</v>
      </c>
      <c r="J12" s="8">
        <f>KPI目標說明!S6</f>
        <v>12</v>
      </c>
      <c r="K12" s="114">
        <f>KPI目標說明!U6</f>
        <v>12</v>
      </c>
    </row>
    <row r="13" spans="1:11">
      <c r="A13" s="168"/>
      <c r="B13" s="64" t="s">
        <v>23</v>
      </c>
      <c r="C13" s="8">
        <f>KPI目標說明!E7</f>
        <v>25</v>
      </c>
      <c r="D13" s="8">
        <f>KPI目標說明!G7</f>
        <v>180</v>
      </c>
      <c r="E13" s="8">
        <f>KPI目標說明!I7</f>
        <v>250</v>
      </c>
      <c r="F13" s="8">
        <f>KPI目標說明!K7</f>
        <v>450</v>
      </c>
      <c r="G13" s="8">
        <f>KPI目標說明!M7</f>
        <v>340</v>
      </c>
      <c r="H13" s="8">
        <f>KPI目標說明!O7</f>
        <v>220</v>
      </c>
      <c r="I13" s="8">
        <f>KPI目標說明!Q7</f>
        <v>70</v>
      </c>
      <c r="J13" s="8">
        <f>KPI目標說明!S7</f>
        <v>200</v>
      </c>
      <c r="K13" s="114">
        <f>KPI目標說明!U7</f>
        <v>450</v>
      </c>
    </row>
    <row r="14" spans="1:11">
      <c r="A14" s="168"/>
      <c r="B14" s="64" t="s">
        <v>26</v>
      </c>
      <c r="C14" s="8">
        <f>KPI目標說明!E8</f>
        <v>40</v>
      </c>
      <c r="D14" s="8">
        <f>KPI目標說明!G8</f>
        <v>150</v>
      </c>
      <c r="E14" s="8">
        <f>KPI目標說明!I8</f>
        <v>300</v>
      </c>
      <c r="F14" s="8">
        <f>KPI目標說明!K8</f>
        <v>500</v>
      </c>
      <c r="G14" s="8">
        <f>KPI目標說明!M8</f>
        <v>320</v>
      </c>
      <c r="H14" s="8">
        <f>KPI目標說明!O8</f>
        <v>240</v>
      </c>
      <c r="I14" s="8">
        <f>KPI目標說明!Q8</f>
        <v>28</v>
      </c>
      <c r="J14" s="8">
        <f>KPI目標說明!S8</f>
        <v>300</v>
      </c>
      <c r="K14" s="114">
        <f>KPI目標說明!U8</f>
        <v>500</v>
      </c>
    </row>
    <row r="15" spans="1:11">
      <c r="A15" s="168"/>
      <c r="B15" s="64" t="s">
        <v>29</v>
      </c>
      <c r="C15" s="8">
        <f>KPI目標說明!E9</f>
        <v>1</v>
      </c>
      <c r="D15" s="8">
        <f>KPI目標說明!G9</f>
        <v>1</v>
      </c>
      <c r="E15" s="8">
        <f>KPI目標說明!I9</f>
        <v>1</v>
      </c>
      <c r="F15" s="8">
        <f>KPI目標說明!K9</f>
        <v>1</v>
      </c>
      <c r="G15" s="8">
        <f>KPI目標說明!M9</f>
        <v>1</v>
      </c>
      <c r="H15" s="8">
        <f>KPI目標說明!O9</f>
        <v>1</v>
      </c>
      <c r="I15" s="8">
        <f>KPI目標說明!Q9</f>
        <v>1</v>
      </c>
      <c r="J15" s="8">
        <f>KPI目標說明!S9</f>
        <v>1</v>
      </c>
      <c r="K15" s="114">
        <f>KPI目標說明!U9</f>
        <v>1</v>
      </c>
    </row>
    <row r="16" spans="1:11">
      <c r="A16" s="168"/>
      <c r="B16" s="64" t="s">
        <v>32</v>
      </c>
      <c r="C16" s="8">
        <f>KPI目標說明!E10</f>
        <v>1</v>
      </c>
      <c r="D16" s="8">
        <f>KPI目標說明!G10</f>
        <v>1</v>
      </c>
      <c r="E16" s="8">
        <f>KPI目標說明!I10</f>
        <v>1</v>
      </c>
      <c r="F16" s="8">
        <f>KPI目標說明!K10</f>
        <v>1</v>
      </c>
      <c r="G16" s="8">
        <f>KPI目標說明!M10</f>
        <v>1</v>
      </c>
      <c r="H16" s="8">
        <f>KPI目標說明!O10</f>
        <v>1</v>
      </c>
      <c r="I16" s="8">
        <f>KPI目標說明!Q10</f>
        <v>1</v>
      </c>
      <c r="J16" s="8">
        <f>KPI目標說明!S10</f>
        <v>1</v>
      </c>
      <c r="K16" s="114">
        <f>KPI目標說明!U10</f>
        <v>1</v>
      </c>
    </row>
    <row r="17" spans="1:11" ht="17.5" thickBot="1">
      <c r="A17" s="168"/>
      <c r="B17" s="61" t="s">
        <v>45</v>
      </c>
      <c r="C17" s="82">
        <f>KPI目標說明!$E$11</f>
        <v>1</v>
      </c>
      <c r="D17" s="82">
        <f>KPI目標說明!$G$11</f>
        <v>1</v>
      </c>
      <c r="E17" s="82">
        <f>KPI目標說明!$I$11</f>
        <v>1</v>
      </c>
      <c r="F17" s="82">
        <f>KPI目標說明!$K$11</f>
        <v>1</v>
      </c>
      <c r="G17" s="82">
        <f>KPI目標說明!$M$11</f>
        <v>1</v>
      </c>
      <c r="H17" s="82">
        <f>KPI目標說明!$O$11</f>
        <v>1</v>
      </c>
      <c r="I17" s="82">
        <f>KPI目標說明!$Q$11</f>
        <v>1</v>
      </c>
      <c r="J17" s="82">
        <f>KPI目標說明!$S$11</f>
        <v>1</v>
      </c>
      <c r="K17" s="118">
        <f>KPI目標說明!U11</f>
        <v>1</v>
      </c>
    </row>
    <row r="18" spans="1:11" ht="16.399999999999999" customHeight="1">
      <c r="A18" s="170" t="s">
        <v>47</v>
      </c>
      <c r="B18" s="5" t="s">
        <v>13</v>
      </c>
      <c r="C18" s="79">
        <f t="shared" ref="C18:K25" si="0">C2-C10</f>
        <v>-1</v>
      </c>
      <c r="D18" s="79">
        <f t="shared" si="0"/>
        <v>-5</v>
      </c>
      <c r="E18" s="79">
        <f t="shared" si="0"/>
        <v>-10</v>
      </c>
      <c r="F18" s="79">
        <f t="shared" si="0"/>
        <v>-25</v>
      </c>
      <c r="G18" s="79">
        <f t="shared" si="0"/>
        <v>-5</v>
      </c>
      <c r="H18" s="79">
        <f t="shared" si="0"/>
        <v>-10</v>
      </c>
      <c r="I18" s="79">
        <f t="shared" si="0"/>
        <v>-2</v>
      </c>
      <c r="J18" s="79">
        <f t="shared" si="0"/>
        <v>-6</v>
      </c>
      <c r="K18" s="119">
        <f t="shared" si="0"/>
        <v>-25</v>
      </c>
    </row>
    <row r="19" spans="1:11">
      <c r="A19" s="171"/>
      <c r="B19" s="64" t="s">
        <v>41</v>
      </c>
      <c r="C19" s="78">
        <f>C3-C11</f>
        <v>-0.1</v>
      </c>
      <c r="D19" s="78">
        <f t="shared" si="0"/>
        <v>-0.05</v>
      </c>
      <c r="E19" s="78">
        <f t="shared" si="0"/>
        <v>-0.1</v>
      </c>
      <c r="F19" s="78">
        <f t="shared" si="0"/>
        <v>-0.1</v>
      </c>
      <c r="G19" s="78">
        <f t="shared" si="0"/>
        <v>-0.1</v>
      </c>
      <c r="H19" s="78">
        <f t="shared" si="0"/>
        <v>-0.05</v>
      </c>
      <c r="I19" s="78">
        <f t="shared" si="0"/>
        <v>-0.03</v>
      </c>
      <c r="J19" s="78">
        <f t="shared" si="0"/>
        <v>-0.05</v>
      </c>
      <c r="K19" s="120">
        <f t="shared" si="0"/>
        <v>-0.1</v>
      </c>
    </row>
    <row r="20" spans="1:11">
      <c r="A20" s="171"/>
      <c r="B20" s="64" t="s">
        <v>20</v>
      </c>
      <c r="C20" s="77">
        <f t="shared" si="0"/>
        <v>-12</v>
      </c>
      <c r="D20" s="77">
        <f t="shared" si="0"/>
        <v>-12</v>
      </c>
      <c r="E20" s="77">
        <f t="shared" si="0"/>
        <v>-12</v>
      </c>
      <c r="F20" s="77">
        <f t="shared" si="0"/>
        <v>-12</v>
      </c>
      <c r="G20" s="77">
        <f t="shared" si="0"/>
        <v>-12</v>
      </c>
      <c r="H20" s="77">
        <f t="shared" si="0"/>
        <v>-12</v>
      </c>
      <c r="I20" s="77">
        <f t="shared" si="0"/>
        <v>-12</v>
      </c>
      <c r="J20" s="77">
        <f t="shared" si="0"/>
        <v>-12</v>
      </c>
      <c r="K20" s="121">
        <f t="shared" si="0"/>
        <v>-12</v>
      </c>
    </row>
    <row r="21" spans="1:11">
      <c r="A21" s="171"/>
      <c r="B21" s="64" t="s">
        <v>23</v>
      </c>
      <c r="C21" s="77">
        <f t="shared" si="0"/>
        <v>-25</v>
      </c>
      <c r="D21" s="77">
        <f t="shared" si="0"/>
        <v>-180</v>
      </c>
      <c r="E21" s="77">
        <f t="shared" si="0"/>
        <v>-250</v>
      </c>
      <c r="F21" s="77">
        <f t="shared" si="0"/>
        <v>-450</v>
      </c>
      <c r="G21" s="77">
        <f t="shared" si="0"/>
        <v>-340</v>
      </c>
      <c r="H21" s="77">
        <f t="shared" si="0"/>
        <v>-220</v>
      </c>
      <c r="I21" s="77">
        <f t="shared" si="0"/>
        <v>-70</v>
      </c>
      <c r="J21" s="77">
        <f t="shared" si="0"/>
        <v>-200</v>
      </c>
      <c r="K21" s="121">
        <f t="shared" si="0"/>
        <v>-450</v>
      </c>
    </row>
    <row r="22" spans="1:11">
      <c r="A22" s="171"/>
      <c r="B22" s="64" t="s">
        <v>26</v>
      </c>
      <c r="C22" s="77">
        <f t="shared" si="0"/>
        <v>-40</v>
      </c>
      <c r="D22" s="77">
        <f t="shared" si="0"/>
        <v>-150</v>
      </c>
      <c r="E22" s="77">
        <f t="shared" si="0"/>
        <v>-300</v>
      </c>
      <c r="F22" s="77">
        <f t="shared" si="0"/>
        <v>-500</v>
      </c>
      <c r="G22" s="77">
        <f t="shared" si="0"/>
        <v>-320</v>
      </c>
      <c r="H22" s="77">
        <f t="shared" si="0"/>
        <v>-240</v>
      </c>
      <c r="I22" s="77">
        <f t="shared" si="0"/>
        <v>-28</v>
      </c>
      <c r="J22" s="77">
        <f t="shared" si="0"/>
        <v>-300</v>
      </c>
      <c r="K22" s="121">
        <f t="shared" si="0"/>
        <v>-500</v>
      </c>
    </row>
    <row r="23" spans="1:11">
      <c r="A23" s="171"/>
      <c r="B23" s="64" t="s">
        <v>29</v>
      </c>
      <c r="C23" s="77">
        <f t="shared" si="0"/>
        <v>-1</v>
      </c>
      <c r="D23" s="77">
        <f t="shared" si="0"/>
        <v>-1</v>
      </c>
      <c r="E23" s="77">
        <f t="shared" si="0"/>
        <v>-1</v>
      </c>
      <c r="F23" s="77">
        <f t="shared" si="0"/>
        <v>-1</v>
      </c>
      <c r="G23" s="77">
        <f t="shared" si="0"/>
        <v>-1</v>
      </c>
      <c r="H23" s="77">
        <f t="shared" si="0"/>
        <v>-1</v>
      </c>
      <c r="I23" s="77">
        <f t="shared" si="0"/>
        <v>-1</v>
      </c>
      <c r="J23" s="77">
        <f t="shared" si="0"/>
        <v>-1</v>
      </c>
      <c r="K23" s="121">
        <f t="shared" si="0"/>
        <v>-1</v>
      </c>
    </row>
    <row r="24" spans="1:11">
      <c r="A24" s="171"/>
      <c r="B24" s="64" t="s">
        <v>32</v>
      </c>
      <c r="C24" s="77">
        <f t="shared" si="0"/>
        <v>-1</v>
      </c>
      <c r="D24" s="77">
        <f t="shared" si="0"/>
        <v>-1</v>
      </c>
      <c r="E24" s="77">
        <f t="shared" si="0"/>
        <v>-1</v>
      </c>
      <c r="F24" s="77">
        <f t="shared" si="0"/>
        <v>-1</v>
      </c>
      <c r="G24" s="77">
        <f t="shared" si="0"/>
        <v>-1</v>
      </c>
      <c r="H24" s="77">
        <f t="shared" si="0"/>
        <v>-1</v>
      </c>
      <c r="I24" s="77">
        <f t="shared" si="0"/>
        <v>-1</v>
      </c>
      <c r="J24" s="77">
        <f t="shared" si="0"/>
        <v>-1</v>
      </c>
      <c r="K24" s="121">
        <f t="shared" si="0"/>
        <v>-1</v>
      </c>
    </row>
    <row r="25" spans="1:11" ht="17.5" thickBot="1">
      <c r="A25" s="172"/>
      <c r="B25" s="10" t="s">
        <v>45</v>
      </c>
      <c r="C25" s="86">
        <f>C9-C17</f>
        <v>-1</v>
      </c>
      <c r="D25" s="86">
        <f t="shared" si="0"/>
        <v>-1</v>
      </c>
      <c r="E25" s="86">
        <f t="shared" si="0"/>
        <v>-1</v>
      </c>
      <c r="F25" s="86">
        <f t="shared" si="0"/>
        <v>-1</v>
      </c>
      <c r="G25" s="86">
        <f t="shared" si="0"/>
        <v>-1</v>
      </c>
      <c r="H25" s="86">
        <f t="shared" si="0"/>
        <v>-1</v>
      </c>
      <c r="I25" s="86">
        <f t="shared" si="0"/>
        <v>-1</v>
      </c>
      <c r="J25" s="86">
        <f t="shared" si="0"/>
        <v>-1</v>
      </c>
      <c r="K25" s="122">
        <f t="shared" si="0"/>
        <v>-1</v>
      </c>
    </row>
    <row r="26" spans="1:11" ht="22" customHeight="1" thickBot="1">
      <c r="A26" s="173"/>
      <c r="B26" s="174"/>
      <c r="C26" s="174"/>
      <c r="D26" s="174"/>
      <c r="E26" s="174"/>
      <c r="F26" s="174"/>
      <c r="G26" s="174"/>
      <c r="H26" s="174"/>
      <c r="I26" s="174"/>
      <c r="J26" s="174"/>
      <c r="K26" s="175"/>
    </row>
    <row r="27" spans="1:11" ht="241" customHeight="1">
      <c r="A27" s="76" t="s">
        <v>13</v>
      </c>
      <c r="B27" s="80" t="s">
        <v>49</v>
      </c>
      <c r="C27" s="81"/>
      <c r="D27" s="81"/>
      <c r="E27" s="81"/>
      <c r="F27" s="81"/>
      <c r="G27" s="81"/>
      <c r="H27" s="81"/>
      <c r="I27" s="81"/>
      <c r="J27" s="81"/>
      <c r="K27" s="123"/>
    </row>
    <row r="28" spans="1:11" ht="97.5" customHeight="1">
      <c r="A28" s="11" t="s">
        <v>17</v>
      </c>
      <c r="B28" s="12" t="s">
        <v>50</v>
      </c>
      <c r="C28" s="14"/>
      <c r="D28" s="14"/>
      <c r="E28" s="14"/>
      <c r="F28" s="14"/>
      <c r="G28" s="14"/>
      <c r="H28" s="14"/>
      <c r="I28" s="14"/>
      <c r="J28" s="14"/>
      <c r="K28" s="104"/>
    </row>
    <row r="29" spans="1:11" ht="51">
      <c r="A29" s="11" t="s">
        <v>20</v>
      </c>
      <c r="B29" s="12" t="s">
        <v>51</v>
      </c>
      <c r="C29" s="13"/>
      <c r="D29" s="13"/>
      <c r="E29" s="13"/>
      <c r="F29" s="13"/>
      <c r="G29" s="13"/>
      <c r="H29" s="13"/>
      <c r="I29" s="13"/>
      <c r="J29" s="13"/>
      <c r="K29" s="124"/>
    </row>
    <row r="30" spans="1:11" ht="34">
      <c r="A30" s="11" t="s">
        <v>23</v>
      </c>
      <c r="B30" s="12" t="s">
        <v>52</v>
      </c>
      <c r="C30" s="13"/>
      <c r="D30" s="13"/>
      <c r="E30" s="13"/>
      <c r="F30" s="13"/>
      <c r="G30" s="13"/>
      <c r="H30" s="92"/>
      <c r="I30" s="92"/>
      <c r="J30" s="13"/>
      <c r="K30" s="125"/>
    </row>
    <row r="31" spans="1:11" ht="34">
      <c r="A31" s="11" t="s">
        <v>26</v>
      </c>
      <c r="B31" s="12" t="s">
        <v>53</v>
      </c>
      <c r="C31" s="13"/>
      <c r="D31" s="13"/>
      <c r="E31" s="13"/>
      <c r="F31" s="13"/>
      <c r="G31" s="13"/>
      <c r="H31" s="13"/>
      <c r="I31" s="13"/>
      <c r="J31" s="13"/>
      <c r="K31" s="124"/>
    </row>
    <row r="32" spans="1:11" ht="153" customHeight="1">
      <c r="A32" s="11" t="s">
        <v>29</v>
      </c>
      <c r="B32" s="12" t="s">
        <v>54</v>
      </c>
      <c r="C32" s="14"/>
      <c r="D32" s="14"/>
      <c r="E32" s="14"/>
      <c r="F32" s="14"/>
      <c r="G32" s="14"/>
      <c r="H32" s="14"/>
      <c r="I32" s="13"/>
      <c r="J32" s="14"/>
      <c r="K32" s="104"/>
    </row>
    <row r="33" spans="1:11" ht="122.15" customHeight="1">
      <c r="A33" s="11" t="s">
        <v>32</v>
      </c>
      <c r="B33" s="12" t="s">
        <v>55</v>
      </c>
      <c r="C33" s="13"/>
      <c r="D33" s="14"/>
      <c r="E33" s="92"/>
      <c r="F33" s="92"/>
      <c r="G33" s="13"/>
      <c r="H33" s="13"/>
      <c r="I33" s="13"/>
      <c r="J33" s="14"/>
      <c r="K33" s="104"/>
    </row>
    <row r="34" spans="1:11" ht="56.15" customHeight="1" thickBot="1">
      <c r="A34" s="15" t="s">
        <v>34</v>
      </c>
      <c r="B34" s="16" t="s">
        <v>56</v>
      </c>
      <c r="C34" s="17"/>
      <c r="D34" s="18"/>
      <c r="E34" s="18"/>
      <c r="F34" s="18"/>
      <c r="G34" s="18"/>
      <c r="H34" s="18"/>
      <c r="I34" s="18"/>
      <c r="J34" s="18"/>
      <c r="K34" s="126"/>
    </row>
    <row r="35" spans="1:11">
      <c r="B35"/>
    </row>
    <row r="36" spans="1:11">
      <c r="B36"/>
    </row>
    <row r="37" spans="1:11">
      <c r="B37"/>
    </row>
    <row r="38" spans="1:11">
      <c r="B38"/>
    </row>
    <row r="39" spans="1:11">
      <c r="B39"/>
    </row>
    <row r="40" spans="1:11">
      <c r="B40"/>
    </row>
    <row r="41" spans="1:11">
      <c r="B41"/>
    </row>
    <row r="42" spans="1:11">
      <c r="B42"/>
    </row>
    <row r="43" spans="1:11">
      <c r="B43"/>
    </row>
    <row r="44" spans="1:11">
      <c r="B44"/>
    </row>
  </sheetData>
  <mergeCells count="5">
    <mergeCell ref="A1:B1"/>
    <mergeCell ref="A2:A9"/>
    <mergeCell ref="A10:A17"/>
    <mergeCell ref="A18:A25"/>
    <mergeCell ref="A26:K26"/>
  </mergeCells>
  <phoneticPr fontId="2" type="noConversion"/>
  <conditionalFormatting sqref="C18:K19">
    <cfRule type="expression" dxfId="16" priority="2">
      <formula>C2&gt;C10</formula>
    </cfRule>
  </conditionalFormatting>
  <conditionalFormatting sqref="C20:K20">
    <cfRule type="expression" dxfId="15" priority="4">
      <formula>C4&lt;C12</formula>
    </cfRule>
  </conditionalFormatting>
  <conditionalFormatting sqref="C21:K24">
    <cfRule type="expression" dxfId="14" priority="1">
      <formula>C5&gt;C13</formula>
    </cfRule>
  </conditionalFormatting>
  <conditionalFormatting sqref="C25:K25">
    <cfRule type="expression" dxfId="13" priority="3">
      <formula>C9&lt;C17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9FA97-DAB0-41F1-B8AC-C45FB2055855}">
  <dimension ref="A1:Q7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T9" sqref="T9"/>
    </sheetView>
  </sheetViews>
  <sheetFormatPr defaultRowHeight="17"/>
  <cols>
    <col min="2" max="2" width="14.36328125" customWidth="1"/>
    <col min="3" max="3" width="32.36328125" customWidth="1"/>
    <col min="16" max="16" width="11.36328125" customWidth="1"/>
    <col min="17" max="17" width="10.36328125" customWidth="1"/>
    <col min="18" max="18" width="12" customWidth="1"/>
  </cols>
  <sheetData>
    <row r="1" spans="1:17" ht="17.5" thickBot="1">
      <c r="A1" s="189" t="s">
        <v>57</v>
      </c>
      <c r="B1" s="190"/>
      <c r="C1" s="191"/>
      <c r="D1" s="147" t="s">
        <v>58</v>
      </c>
      <c r="E1" s="148" t="s">
        <v>59</v>
      </c>
      <c r="F1" s="148" t="s">
        <v>60</v>
      </c>
      <c r="G1" s="148" t="s">
        <v>61</v>
      </c>
      <c r="H1" s="148" t="s">
        <v>62</v>
      </c>
      <c r="I1" s="148" t="s">
        <v>63</v>
      </c>
      <c r="J1" s="148" t="s">
        <v>64</v>
      </c>
      <c r="K1" s="148" t="s">
        <v>65</v>
      </c>
      <c r="L1" s="148" t="s">
        <v>66</v>
      </c>
      <c r="M1" s="148" t="s">
        <v>67</v>
      </c>
      <c r="N1" s="148" t="s">
        <v>68</v>
      </c>
      <c r="O1" s="148" t="s">
        <v>69</v>
      </c>
      <c r="P1" s="61" t="s">
        <v>70</v>
      </c>
      <c r="Q1" s="21" t="s">
        <v>71</v>
      </c>
    </row>
    <row r="2" spans="1:17" ht="17.5" thickTop="1">
      <c r="A2" s="179" t="s">
        <v>0</v>
      </c>
      <c r="B2" s="182" t="s">
        <v>72</v>
      </c>
      <c r="C2" s="33" t="s">
        <v>73</v>
      </c>
      <c r="D2" s="34">
        <v>12</v>
      </c>
      <c r="E2" s="34">
        <v>9</v>
      </c>
      <c r="F2" s="34">
        <v>5</v>
      </c>
      <c r="G2" s="34">
        <v>6</v>
      </c>
      <c r="H2" s="34"/>
      <c r="I2" s="34"/>
      <c r="J2" s="34"/>
      <c r="K2" s="34"/>
      <c r="L2" s="34"/>
      <c r="M2" s="34"/>
      <c r="N2" s="34"/>
      <c r="O2" s="34"/>
      <c r="P2" s="35">
        <f t="shared" ref="P2:P7" si="0">SUM(D2:O2)</f>
        <v>32</v>
      </c>
      <c r="Q2" s="36">
        <f t="shared" ref="Q2:Q7" si="1">IFERROR(AVERAGE(D2:O2),"")</f>
        <v>8</v>
      </c>
    </row>
    <row r="3" spans="1:17">
      <c r="A3" s="180"/>
      <c r="B3" s="183"/>
      <c r="C3" s="37" t="s">
        <v>74</v>
      </c>
      <c r="D3" s="19">
        <v>11</v>
      </c>
      <c r="E3" s="19">
        <v>6</v>
      </c>
      <c r="F3" s="19">
        <v>14</v>
      </c>
      <c r="G3" s="19">
        <v>14</v>
      </c>
      <c r="H3" s="19"/>
      <c r="I3" s="19"/>
      <c r="J3" s="19"/>
      <c r="K3" s="19"/>
      <c r="L3" s="19"/>
      <c r="M3" s="19"/>
      <c r="N3" s="19"/>
      <c r="O3" s="19"/>
      <c r="P3" s="38">
        <f t="shared" si="0"/>
        <v>45</v>
      </c>
      <c r="Q3" s="39">
        <f t="shared" si="1"/>
        <v>11.25</v>
      </c>
    </row>
    <row r="4" spans="1:17">
      <c r="A4" s="180"/>
      <c r="B4" s="184" t="s">
        <v>75</v>
      </c>
      <c r="C4" s="40" t="s">
        <v>73</v>
      </c>
      <c r="D4" s="41">
        <v>12</v>
      </c>
      <c r="E4" s="41">
        <v>9</v>
      </c>
      <c r="F4" s="41">
        <v>5</v>
      </c>
      <c r="G4" s="41">
        <v>6</v>
      </c>
      <c r="H4" s="41"/>
      <c r="I4" s="41"/>
      <c r="J4" s="41"/>
      <c r="K4" s="41"/>
      <c r="L4" s="41"/>
      <c r="M4" s="41"/>
      <c r="N4" s="41"/>
      <c r="O4" s="41"/>
      <c r="P4" s="42">
        <f t="shared" si="0"/>
        <v>32</v>
      </c>
      <c r="Q4" s="43">
        <f t="shared" si="1"/>
        <v>8</v>
      </c>
    </row>
    <row r="5" spans="1:17">
      <c r="A5" s="180"/>
      <c r="B5" s="185"/>
      <c r="C5" s="44" t="s">
        <v>74</v>
      </c>
      <c r="D5" s="45">
        <v>11</v>
      </c>
      <c r="E5" s="45">
        <v>6</v>
      </c>
      <c r="F5" s="45">
        <v>14</v>
      </c>
      <c r="G5" s="45">
        <v>14</v>
      </c>
      <c r="H5" s="45"/>
      <c r="I5" s="45"/>
      <c r="J5" s="45"/>
      <c r="K5" s="45"/>
      <c r="L5" s="45"/>
      <c r="M5" s="45"/>
      <c r="N5" s="45"/>
      <c r="O5" s="45"/>
      <c r="P5" s="46">
        <f t="shared" si="0"/>
        <v>45</v>
      </c>
      <c r="Q5" s="47">
        <f t="shared" si="1"/>
        <v>11.25</v>
      </c>
    </row>
    <row r="6" spans="1:17">
      <c r="A6" s="180"/>
      <c r="B6" s="186" t="s">
        <v>76</v>
      </c>
      <c r="C6" s="22" t="s">
        <v>73</v>
      </c>
      <c r="D6" s="23">
        <f>D4-D2</f>
        <v>0</v>
      </c>
      <c r="E6" s="23">
        <f t="shared" ref="E6:O7" si="2">E4-E2</f>
        <v>0</v>
      </c>
      <c r="F6" s="23">
        <f t="shared" si="2"/>
        <v>0</v>
      </c>
      <c r="G6" s="23">
        <f t="shared" si="2"/>
        <v>0</v>
      </c>
      <c r="H6" s="23">
        <f t="shared" ref="H6" si="3">H4-H2</f>
        <v>0</v>
      </c>
      <c r="I6" s="23">
        <f t="shared" si="2"/>
        <v>0</v>
      </c>
      <c r="J6" s="23">
        <f t="shared" si="2"/>
        <v>0</v>
      </c>
      <c r="K6" s="23">
        <f t="shared" si="2"/>
        <v>0</v>
      </c>
      <c r="L6" s="23">
        <f t="shared" si="2"/>
        <v>0</v>
      </c>
      <c r="M6" s="23">
        <f t="shared" si="2"/>
        <v>0</v>
      </c>
      <c r="N6" s="23">
        <f t="shared" si="2"/>
        <v>0</v>
      </c>
      <c r="O6" s="23">
        <f t="shared" si="2"/>
        <v>0</v>
      </c>
      <c r="P6" s="24">
        <f t="shared" si="0"/>
        <v>0</v>
      </c>
      <c r="Q6" s="48">
        <f t="shared" si="1"/>
        <v>0</v>
      </c>
    </row>
    <row r="7" spans="1:17">
      <c r="A7" s="180"/>
      <c r="B7" s="187"/>
      <c r="C7" s="26" t="s">
        <v>74</v>
      </c>
      <c r="D7">
        <f>D5-D3</f>
        <v>0</v>
      </c>
      <c r="E7">
        <f t="shared" si="2"/>
        <v>0</v>
      </c>
      <c r="F7">
        <f t="shared" si="2"/>
        <v>0</v>
      </c>
      <c r="G7">
        <f t="shared" si="2"/>
        <v>0</v>
      </c>
      <c r="H7">
        <f t="shared" ref="H7" si="4">H5-H3</f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0</v>
      </c>
      <c r="M7">
        <f t="shared" si="2"/>
        <v>0</v>
      </c>
      <c r="N7">
        <f t="shared" si="2"/>
        <v>0</v>
      </c>
      <c r="O7">
        <f t="shared" si="2"/>
        <v>0</v>
      </c>
      <c r="P7" s="27">
        <f t="shared" si="0"/>
        <v>0</v>
      </c>
      <c r="Q7" s="49">
        <f t="shared" si="1"/>
        <v>0</v>
      </c>
    </row>
    <row r="8" spans="1:17">
      <c r="A8" s="180"/>
      <c r="B8" s="186" t="s">
        <v>19</v>
      </c>
      <c r="C8" s="22" t="s">
        <v>73</v>
      </c>
      <c r="D8" s="50">
        <f>D6/D2</f>
        <v>0</v>
      </c>
      <c r="E8" s="50">
        <f t="shared" ref="E8:F8" si="5">E6/E2</f>
        <v>0</v>
      </c>
      <c r="F8" s="50">
        <f t="shared" si="5"/>
        <v>0</v>
      </c>
      <c r="G8" s="50">
        <f t="shared" ref="G8:H8" si="6">G6/G2</f>
        <v>0</v>
      </c>
      <c r="H8" s="50" t="e">
        <f t="shared" si="6"/>
        <v>#DIV/0!</v>
      </c>
      <c r="I8" s="50" t="e">
        <f t="shared" ref="I8:K8" si="7">I6/I2</f>
        <v>#DIV/0!</v>
      </c>
      <c r="J8" s="50" t="e">
        <f t="shared" si="7"/>
        <v>#DIV/0!</v>
      </c>
      <c r="K8" s="50" t="e">
        <f t="shared" si="7"/>
        <v>#DIV/0!</v>
      </c>
      <c r="L8" s="50" t="e">
        <f t="shared" ref="L8:N8" si="8">L6/L2</f>
        <v>#DIV/0!</v>
      </c>
      <c r="M8" s="50" t="e">
        <f t="shared" si="8"/>
        <v>#DIV/0!</v>
      </c>
      <c r="N8" s="50" t="e">
        <f t="shared" si="8"/>
        <v>#DIV/0!</v>
      </c>
      <c r="O8" s="50"/>
      <c r="P8" s="51"/>
      <c r="Q8" s="52" t="e">
        <f>AVERAGE(D8:O8)</f>
        <v>#DIV/0!</v>
      </c>
    </row>
    <row r="9" spans="1:17" ht="17.5" thickBot="1">
      <c r="A9" s="180"/>
      <c r="B9" s="187"/>
      <c r="C9" s="26" t="s">
        <v>74</v>
      </c>
      <c r="D9" s="53">
        <f>D7/D3</f>
        <v>0</v>
      </c>
      <c r="E9" s="53">
        <f t="shared" ref="E9:N9" si="9">E7/E3</f>
        <v>0</v>
      </c>
      <c r="F9" s="53">
        <f t="shared" si="9"/>
        <v>0</v>
      </c>
      <c r="G9" s="53">
        <f t="shared" si="9"/>
        <v>0</v>
      </c>
      <c r="H9" s="53" t="e">
        <f t="shared" si="9"/>
        <v>#DIV/0!</v>
      </c>
      <c r="I9" s="53" t="e">
        <f t="shared" si="9"/>
        <v>#DIV/0!</v>
      </c>
      <c r="J9" s="53" t="e">
        <f t="shared" si="9"/>
        <v>#DIV/0!</v>
      </c>
      <c r="K9" s="53" t="e">
        <f t="shared" si="9"/>
        <v>#DIV/0!</v>
      </c>
      <c r="L9" s="53" t="e">
        <f t="shared" si="9"/>
        <v>#DIV/0!</v>
      </c>
      <c r="M9" s="53" t="e">
        <f t="shared" si="9"/>
        <v>#DIV/0!</v>
      </c>
      <c r="N9" s="53" t="e">
        <f t="shared" si="9"/>
        <v>#DIV/0!</v>
      </c>
      <c r="O9" s="53"/>
      <c r="P9" s="54"/>
      <c r="Q9" s="55" t="e">
        <f>AVERAGE(D9:O9)</f>
        <v>#DIV/0!</v>
      </c>
    </row>
    <row r="10" spans="1:17" ht="17.5" thickTop="1">
      <c r="A10" s="179" t="s">
        <v>1</v>
      </c>
      <c r="B10" s="182" t="s">
        <v>72</v>
      </c>
      <c r="C10" s="33" t="s">
        <v>73</v>
      </c>
      <c r="D10" s="34">
        <v>101</v>
      </c>
      <c r="E10" s="34">
        <v>82</v>
      </c>
      <c r="F10" s="34">
        <v>77</v>
      </c>
      <c r="G10" s="34">
        <v>78</v>
      </c>
      <c r="H10" s="34"/>
      <c r="I10" s="34"/>
      <c r="J10" s="34"/>
      <c r="K10" s="34"/>
      <c r="L10" s="34"/>
      <c r="M10" s="34"/>
      <c r="N10" s="34"/>
      <c r="O10" s="34"/>
      <c r="P10" s="35">
        <f t="shared" ref="P10:P15" si="10">SUM(D10:O10)</f>
        <v>338</v>
      </c>
      <c r="Q10" s="36">
        <f t="shared" ref="Q10:Q15" si="11">IFERROR(AVERAGE(D10:O10),"")</f>
        <v>84.5</v>
      </c>
    </row>
    <row r="11" spans="1:17">
      <c r="A11" s="180"/>
      <c r="B11" s="183"/>
      <c r="C11" s="37" t="s">
        <v>74</v>
      </c>
      <c r="D11" s="19">
        <v>109</v>
      </c>
      <c r="E11" s="19">
        <v>77</v>
      </c>
      <c r="F11" s="19">
        <v>73</v>
      </c>
      <c r="G11" s="19">
        <v>74</v>
      </c>
      <c r="H11" s="19"/>
      <c r="I11" s="19"/>
      <c r="J11" s="19"/>
      <c r="K11" s="19"/>
      <c r="L11" s="19"/>
      <c r="M11" s="19"/>
      <c r="N11" s="19"/>
      <c r="O11" s="19"/>
      <c r="P11" s="38">
        <f t="shared" si="10"/>
        <v>333</v>
      </c>
      <c r="Q11" s="39">
        <f t="shared" si="11"/>
        <v>83.25</v>
      </c>
    </row>
    <row r="12" spans="1:17">
      <c r="A12" s="180"/>
      <c r="B12" s="184" t="s">
        <v>75</v>
      </c>
      <c r="C12" s="40" t="s">
        <v>73</v>
      </c>
      <c r="D12" s="41">
        <v>101</v>
      </c>
      <c r="E12" s="41">
        <v>82</v>
      </c>
      <c r="F12" s="41">
        <v>77</v>
      </c>
      <c r="G12" s="41">
        <v>78</v>
      </c>
      <c r="H12" s="41"/>
      <c r="I12" s="41"/>
      <c r="J12" s="41"/>
      <c r="K12" s="41"/>
      <c r="L12" s="41"/>
      <c r="M12" s="41"/>
      <c r="N12" s="41"/>
      <c r="O12" s="41"/>
      <c r="P12" s="42">
        <f t="shared" si="10"/>
        <v>338</v>
      </c>
      <c r="Q12" s="43">
        <f t="shared" si="11"/>
        <v>84.5</v>
      </c>
    </row>
    <row r="13" spans="1:17">
      <c r="A13" s="180"/>
      <c r="B13" s="185"/>
      <c r="C13" s="44" t="s">
        <v>74</v>
      </c>
      <c r="D13" s="45">
        <v>109</v>
      </c>
      <c r="E13" s="45">
        <v>77</v>
      </c>
      <c r="F13" s="45">
        <v>73</v>
      </c>
      <c r="G13" s="45">
        <v>74</v>
      </c>
      <c r="H13" s="45"/>
      <c r="I13" s="45"/>
      <c r="J13" s="45"/>
      <c r="K13" s="45"/>
      <c r="L13" s="45"/>
      <c r="M13" s="45"/>
      <c r="N13" s="45"/>
      <c r="O13" s="45"/>
      <c r="P13" s="46">
        <f t="shared" si="10"/>
        <v>333</v>
      </c>
      <c r="Q13" s="47">
        <f t="shared" si="11"/>
        <v>83.25</v>
      </c>
    </row>
    <row r="14" spans="1:17">
      <c r="A14" s="180"/>
      <c r="B14" s="186" t="s">
        <v>76</v>
      </c>
      <c r="C14" s="22" t="s">
        <v>73</v>
      </c>
      <c r="D14" s="23">
        <f t="shared" ref="D14:O14" si="12">D12-D10</f>
        <v>0</v>
      </c>
      <c r="E14" s="23">
        <f t="shared" si="12"/>
        <v>0</v>
      </c>
      <c r="F14" s="23">
        <f t="shared" si="12"/>
        <v>0</v>
      </c>
      <c r="G14" s="23">
        <f t="shared" si="12"/>
        <v>0</v>
      </c>
      <c r="H14" s="23">
        <f t="shared" si="12"/>
        <v>0</v>
      </c>
      <c r="I14" s="23">
        <f t="shared" si="12"/>
        <v>0</v>
      </c>
      <c r="J14" s="23">
        <f t="shared" si="12"/>
        <v>0</v>
      </c>
      <c r="K14" s="23">
        <f t="shared" si="12"/>
        <v>0</v>
      </c>
      <c r="L14" s="23">
        <f t="shared" si="12"/>
        <v>0</v>
      </c>
      <c r="M14" s="23">
        <f t="shared" si="12"/>
        <v>0</v>
      </c>
      <c r="N14" s="23">
        <f t="shared" si="12"/>
        <v>0</v>
      </c>
      <c r="O14" s="23">
        <f t="shared" si="12"/>
        <v>0</v>
      </c>
      <c r="P14" s="24">
        <f t="shared" si="10"/>
        <v>0</v>
      </c>
      <c r="Q14" s="48">
        <f t="shared" si="11"/>
        <v>0</v>
      </c>
    </row>
    <row r="15" spans="1:17">
      <c r="A15" s="180"/>
      <c r="B15" s="187"/>
      <c r="C15" s="26" t="s">
        <v>74</v>
      </c>
      <c r="D15">
        <f t="shared" ref="D15:O15" si="13">D13-D11</f>
        <v>0</v>
      </c>
      <c r="E15">
        <f t="shared" si="13"/>
        <v>0</v>
      </c>
      <c r="F15">
        <f t="shared" si="13"/>
        <v>0</v>
      </c>
      <c r="G15">
        <f t="shared" si="13"/>
        <v>0</v>
      </c>
      <c r="H15">
        <f t="shared" si="13"/>
        <v>0</v>
      </c>
      <c r="I15">
        <f t="shared" si="13"/>
        <v>0</v>
      </c>
      <c r="J15">
        <f t="shared" si="13"/>
        <v>0</v>
      </c>
      <c r="K15">
        <f t="shared" si="13"/>
        <v>0</v>
      </c>
      <c r="L15">
        <f t="shared" si="13"/>
        <v>0</v>
      </c>
      <c r="M15">
        <f t="shared" si="13"/>
        <v>0</v>
      </c>
      <c r="N15">
        <f t="shared" si="13"/>
        <v>0</v>
      </c>
      <c r="O15">
        <f t="shared" si="13"/>
        <v>0</v>
      </c>
      <c r="P15" s="27">
        <f t="shared" si="10"/>
        <v>0</v>
      </c>
      <c r="Q15" s="49">
        <f t="shared" si="11"/>
        <v>0</v>
      </c>
    </row>
    <row r="16" spans="1:17">
      <c r="A16" s="180"/>
      <c r="B16" s="186" t="s">
        <v>19</v>
      </c>
      <c r="C16" s="22" t="s">
        <v>73</v>
      </c>
      <c r="D16" s="50">
        <f t="shared" ref="D16:N16" si="14">D14/D10</f>
        <v>0</v>
      </c>
      <c r="E16" s="50">
        <f t="shared" si="14"/>
        <v>0</v>
      </c>
      <c r="F16" s="50">
        <f t="shared" si="14"/>
        <v>0</v>
      </c>
      <c r="G16" s="50">
        <f t="shared" si="14"/>
        <v>0</v>
      </c>
      <c r="H16" s="50" t="e">
        <f t="shared" si="14"/>
        <v>#DIV/0!</v>
      </c>
      <c r="I16" s="50" t="e">
        <f t="shared" si="14"/>
        <v>#DIV/0!</v>
      </c>
      <c r="J16" s="50" t="e">
        <f t="shared" si="14"/>
        <v>#DIV/0!</v>
      </c>
      <c r="K16" s="50" t="e">
        <f t="shared" si="14"/>
        <v>#DIV/0!</v>
      </c>
      <c r="L16" s="50" t="e">
        <f t="shared" si="14"/>
        <v>#DIV/0!</v>
      </c>
      <c r="M16" s="50" t="e">
        <f t="shared" si="14"/>
        <v>#DIV/0!</v>
      </c>
      <c r="N16" s="50" t="e">
        <f t="shared" si="14"/>
        <v>#DIV/0!</v>
      </c>
      <c r="O16" s="50"/>
      <c r="P16" s="51"/>
      <c r="Q16" s="52" t="e">
        <f>AVERAGE(D16:O16)</f>
        <v>#DIV/0!</v>
      </c>
    </row>
    <row r="17" spans="1:17" ht="17.5" thickBot="1">
      <c r="A17" s="180"/>
      <c r="B17" s="187"/>
      <c r="C17" s="26" t="s">
        <v>74</v>
      </c>
      <c r="D17" s="53">
        <f t="shared" ref="D17:N17" si="15">D15/D11</f>
        <v>0</v>
      </c>
      <c r="E17" s="53">
        <f t="shared" si="15"/>
        <v>0</v>
      </c>
      <c r="F17" s="53">
        <f t="shared" si="15"/>
        <v>0</v>
      </c>
      <c r="G17" s="53">
        <f t="shared" si="15"/>
        <v>0</v>
      </c>
      <c r="H17" s="53" t="e">
        <f t="shared" si="15"/>
        <v>#DIV/0!</v>
      </c>
      <c r="I17" s="53" t="e">
        <f t="shared" si="15"/>
        <v>#DIV/0!</v>
      </c>
      <c r="J17" s="53" t="e">
        <f t="shared" si="15"/>
        <v>#DIV/0!</v>
      </c>
      <c r="K17" s="53" t="e">
        <f t="shared" si="15"/>
        <v>#DIV/0!</v>
      </c>
      <c r="L17" s="53" t="e">
        <f t="shared" si="15"/>
        <v>#DIV/0!</v>
      </c>
      <c r="M17" s="53" t="e">
        <f t="shared" si="15"/>
        <v>#DIV/0!</v>
      </c>
      <c r="N17" s="53" t="e">
        <f t="shared" si="15"/>
        <v>#DIV/0!</v>
      </c>
      <c r="O17" s="53"/>
      <c r="P17" s="54"/>
      <c r="Q17" s="55" t="e">
        <f>AVERAGE(D17:O17)</f>
        <v>#DIV/0!</v>
      </c>
    </row>
    <row r="18" spans="1:17" ht="17.5" thickTop="1">
      <c r="A18" s="179" t="s">
        <v>2</v>
      </c>
      <c r="B18" s="182" t="s">
        <v>72</v>
      </c>
      <c r="C18" s="33" t="s">
        <v>73</v>
      </c>
      <c r="D18" s="34">
        <v>87</v>
      </c>
      <c r="E18" s="34">
        <v>59</v>
      </c>
      <c r="F18" s="34">
        <v>91</v>
      </c>
      <c r="G18" s="34">
        <v>125</v>
      </c>
      <c r="H18" s="34"/>
      <c r="I18" s="34"/>
      <c r="J18" s="34"/>
      <c r="K18" s="34"/>
      <c r="L18" s="34"/>
      <c r="M18" s="34"/>
      <c r="N18" s="34"/>
      <c r="O18" s="34"/>
      <c r="P18" s="35">
        <f t="shared" ref="P18:P23" si="16">SUM(D18:O18)</f>
        <v>362</v>
      </c>
      <c r="Q18" s="36">
        <f t="shared" ref="Q18:Q23" si="17">IFERROR(AVERAGE(D18:O18),"")</f>
        <v>90.5</v>
      </c>
    </row>
    <row r="19" spans="1:17">
      <c r="A19" s="180"/>
      <c r="B19" s="183"/>
      <c r="C19" s="37" t="s">
        <v>74</v>
      </c>
      <c r="D19" s="19">
        <v>66</v>
      </c>
      <c r="E19" s="19">
        <v>61</v>
      </c>
      <c r="F19" s="19">
        <v>96</v>
      </c>
      <c r="G19" s="19">
        <v>113</v>
      </c>
      <c r="H19" s="19"/>
      <c r="I19" s="19"/>
      <c r="J19" s="19"/>
      <c r="K19" s="19"/>
      <c r="L19" s="19"/>
      <c r="M19" s="19"/>
      <c r="N19" s="19"/>
      <c r="O19" s="19"/>
      <c r="P19" s="38">
        <f t="shared" si="16"/>
        <v>336</v>
      </c>
      <c r="Q19" s="39">
        <f t="shared" si="17"/>
        <v>84</v>
      </c>
    </row>
    <row r="20" spans="1:17">
      <c r="A20" s="180"/>
      <c r="B20" s="184" t="s">
        <v>75</v>
      </c>
      <c r="C20" s="40" t="s">
        <v>73</v>
      </c>
      <c r="D20" s="41">
        <v>87</v>
      </c>
      <c r="E20" s="41">
        <v>59</v>
      </c>
      <c r="F20" s="41">
        <v>91</v>
      </c>
      <c r="G20" s="41">
        <v>125</v>
      </c>
      <c r="H20" s="41"/>
      <c r="I20" s="41"/>
      <c r="J20" s="41"/>
      <c r="K20" s="41"/>
      <c r="L20" s="41"/>
      <c r="M20" s="41"/>
      <c r="N20" s="41"/>
      <c r="O20" s="41"/>
      <c r="P20" s="42">
        <f t="shared" si="16"/>
        <v>362</v>
      </c>
      <c r="Q20" s="43">
        <f t="shared" si="17"/>
        <v>90.5</v>
      </c>
    </row>
    <row r="21" spans="1:17">
      <c r="A21" s="180"/>
      <c r="B21" s="185"/>
      <c r="C21" s="44" t="s">
        <v>74</v>
      </c>
      <c r="D21" s="45">
        <v>66</v>
      </c>
      <c r="E21" s="45">
        <v>61</v>
      </c>
      <c r="F21" s="45">
        <v>96</v>
      </c>
      <c r="G21" s="45">
        <v>113</v>
      </c>
      <c r="H21" s="45"/>
      <c r="I21" s="45"/>
      <c r="J21" s="45"/>
      <c r="K21" s="45"/>
      <c r="L21" s="45"/>
      <c r="M21" s="45"/>
      <c r="N21" s="45"/>
      <c r="O21" s="45"/>
      <c r="P21" s="46">
        <f t="shared" si="16"/>
        <v>336</v>
      </c>
      <c r="Q21" s="47">
        <f t="shared" si="17"/>
        <v>84</v>
      </c>
    </row>
    <row r="22" spans="1:17">
      <c r="A22" s="180"/>
      <c r="B22" s="186" t="s">
        <v>76</v>
      </c>
      <c r="C22" s="22" t="s">
        <v>73</v>
      </c>
      <c r="D22" s="23">
        <f>D20-D18</f>
        <v>0</v>
      </c>
      <c r="E22" s="23">
        <f t="shared" ref="E22:O22" si="18">E20-E18</f>
        <v>0</v>
      </c>
      <c r="F22" s="23">
        <f t="shared" si="18"/>
        <v>0</v>
      </c>
      <c r="G22" s="23">
        <f t="shared" si="18"/>
        <v>0</v>
      </c>
      <c r="H22" s="23">
        <f t="shared" ref="H22" si="19">H20-H18</f>
        <v>0</v>
      </c>
      <c r="I22" s="23">
        <f t="shared" si="18"/>
        <v>0</v>
      </c>
      <c r="J22" s="23">
        <f t="shared" si="18"/>
        <v>0</v>
      </c>
      <c r="K22" s="23">
        <f t="shared" si="18"/>
        <v>0</v>
      </c>
      <c r="L22" s="23">
        <f t="shared" si="18"/>
        <v>0</v>
      </c>
      <c r="M22" s="23">
        <f t="shared" si="18"/>
        <v>0</v>
      </c>
      <c r="N22" s="23">
        <f t="shared" si="18"/>
        <v>0</v>
      </c>
      <c r="O22" s="23">
        <f t="shared" si="18"/>
        <v>0</v>
      </c>
      <c r="P22" s="24">
        <f t="shared" si="16"/>
        <v>0</v>
      </c>
      <c r="Q22" s="48">
        <f t="shared" si="17"/>
        <v>0</v>
      </c>
    </row>
    <row r="23" spans="1:17">
      <c r="A23" s="180"/>
      <c r="B23" s="187"/>
      <c r="C23" s="26" t="s">
        <v>74</v>
      </c>
      <c r="D23">
        <f>D21-D19</f>
        <v>0</v>
      </c>
      <c r="E23">
        <f t="shared" ref="E23:O23" si="20">E21-E19</f>
        <v>0</v>
      </c>
      <c r="F23">
        <f t="shared" si="20"/>
        <v>0</v>
      </c>
      <c r="G23">
        <f t="shared" si="20"/>
        <v>0</v>
      </c>
      <c r="H23">
        <f t="shared" ref="H23" si="21">H21-H19</f>
        <v>0</v>
      </c>
      <c r="I23">
        <f t="shared" si="20"/>
        <v>0</v>
      </c>
      <c r="J23">
        <f t="shared" si="20"/>
        <v>0</v>
      </c>
      <c r="K23">
        <f t="shared" si="20"/>
        <v>0</v>
      </c>
      <c r="L23">
        <f t="shared" si="20"/>
        <v>0</v>
      </c>
      <c r="M23">
        <f t="shared" si="20"/>
        <v>0</v>
      </c>
      <c r="N23">
        <f t="shared" si="20"/>
        <v>0</v>
      </c>
      <c r="O23">
        <f t="shared" si="20"/>
        <v>0</v>
      </c>
      <c r="P23" s="27">
        <f t="shared" si="16"/>
        <v>0</v>
      </c>
      <c r="Q23" s="49">
        <f t="shared" si="17"/>
        <v>0</v>
      </c>
    </row>
    <row r="24" spans="1:17">
      <c r="A24" s="180"/>
      <c r="B24" s="186" t="s">
        <v>19</v>
      </c>
      <c r="C24" s="22" t="s">
        <v>73</v>
      </c>
      <c r="D24" s="50">
        <f>D22/D18</f>
        <v>0</v>
      </c>
      <c r="E24" s="50">
        <f t="shared" ref="E24:F24" si="22">E22/E18</f>
        <v>0</v>
      </c>
      <c r="F24" s="50">
        <f t="shared" si="22"/>
        <v>0</v>
      </c>
      <c r="G24" s="50">
        <f t="shared" ref="G24:H24" si="23">G22/G18</f>
        <v>0</v>
      </c>
      <c r="H24" s="50" t="e">
        <f t="shared" si="23"/>
        <v>#DIV/0!</v>
      </c>
      <c r="I24" s="50" t="e">
        <f t="shared" ref="I24:K24" si="24">I22/I18</f>
        <v>#DIV/0!</v>
      </c>
      <c r="J24" s="50" t="e">
        <f t="shared" si="24"/>
        <v>#DIV/0!</v>
      </c>
      <c r="K24" s="50" t="e">
        <f t="shared" si="24"/>
        <v>#DIV/0!</v>
      </c>
      <c r="L24" s="50" t="e">
        <f t="shared" ref="L24:M24" si="25">L22/L18</f>
        <v>#DIV/0!</v>
      </c>
      <c r="M24" s="50" t="e">
        <f t="shared" si="25"/>
        <v>#DIV/0!</v>
      </c>
      <c r="N24" s="50" t="e">
        <f t="shared" ref="N24" si="26">N22/N18</f>
        <v>#DIV/0!</v>
      </c>
      <c r="O24" s="50"/>
      <c r="P24" s="51"/>
      <c r="Q24" s="52" t="e">
        <f>AVERAGE(D24:O24)</f>
        <v>#DIV/0!</v>
      </c>
    </row>
    <row r="25" spans="1:17" ht="17.5" thickBot="1">
      <c r="A25" s="180"/>
      <c r="B25" s="187"/>
      <c r="C25" s="26" t="s">
        <v>74</v>
      </c>
      <c r="D25" s="53">
        <f>D23/D19</f>
        <v>0</v>
      </c>
      <c r="E25" s="53">
        <f t="shared" ref="E25:F25" si="27">E23/E19</f>
        <v>0</v>
      </c>
      <c r="F25" s="53">
        <f t="shared" si="27"/>
        <v>0</v>
      </c>
      <c r="G25" s="53">
        <f t="shared" ref="G25:H25" si="28">G23/G19</f>
        <v>0</v>
      </c>
      <c r="H25" s="53" t="e">
        <f t="shared" si="28"/>
        <v>#DIV/0!</v>
      </c>
      <c r="I25" s="53" t="e">
        <f t="shared" ref="I25:K25" si="29">I23/I19</f>
        <v>#DIV/0!</v>
      </c>
      <c r="J25" s="53" t="e">
        <f t="shared" si="29"/>
        <v>#DIV/0!</v>
      </c>
      <c r="K25" s="53" t="e">
        <f t="shared" si="29"/>
        <v>#DIV/0!</v>
      </c>
      <c r="L25" s="53" t="e">
        <f t="shared" ref="L25:M25" si="30">L23/L19</f>
        <v>#DIV/0!</v>
      </c>
      <c r="M25" s="53" t="e">
        <f t="shared" si="30"/>
        <v>#DIV/0!</v>
      </c>
      <c r="N25" s="53" t="e">
        <f t="shared" ref="N25" si="31">N23/N19</f>
        <v>#DIV/0!</v>
      </c>
      <c r="O25" s="53"/>
      <c r="P25" s="54"/>
      <c r="Q25" s="55" t="e">
        <f>AVERAGE(D25:O25)</f>
        <v>#DIV/0!</v>
      </c>
    </row>
    <row r="26" spans="1:17" ht="17.5" thickTop="1">
      <c r="A26" s="179" t="s">
        <v>3</v>
      </c>
      <c r="B26" s="182" t="s">
        <v>72</v>
      </c>
      <c r="C26" s="33" t="s">
        <v>73</v>
      </c>
      <c r="D26" s="34">
        <v>122</v>
      </c>
      <c r="E26" s="34">
        <v>64</v>
      </c>
      <c r="F26" s="34">
        <v>86</v>
      </c>
      <c r="G26" s="34">
        <v>56</v>
      </c>
      <c r="H26" s="34"/>
      <c r="I26" s="34"/>
      <c r="J26" s="34"/>
      <c r="K26" s="34"/>
      <c r="L26" s="34"/>
      <c r="M26" s="34"/>
      <c r="N26" s="34"/>
      <c r="O26" s="34"/>
      <c r="P26" s="35">
        <f t="shared" ref="P26:P31" si="32">SUM(D26:O26)</f>
        <v>328</v>
      </c>
      <c r="Q26" s="36">
        <f t="shared" ref="Q26:Q31" si="33">IFERROR(AVERAGE(D26:O26),"")</f>
        <v>82</v>
      </c>
    </row>
    <row r="27" spans="1:17">
      <c r="A27" s="180"/>
      <c r="B27" s="183"/>
      <c r="C27" s="37" t="s">
        <v>74</v>
      </c>
      <c r="D27" s="19">
        <v>117</v>
      </c>
      <c r="E27" s="19">
        <v>66</v>
      </c>
      <c r="F27" s="19">
        <v>82</v>
      </c>
      <c r="G27" s="19">
        <v>64</v>
      </c>
      <c r="H27" s="19"/>
      <c r="I27" s="19"/>
      <c r="J27" s="19"/>
      <c r="K27" s="19"/>
      <c r="L27" s="19"/>
      <c r="M27" s="19"/>
      <c r="N27" s="19"/>
      <c r="O27" s="19"/>
      <c r="P27" s="38">
        <f t="shared" si="32"/>
        <v>329</v>
      </c>
      <c r="Q27" s="39">
        <f t="shared" si="33"/>
        <v>82.25</v>
      </c>
    </row>
    <row r="28" spans="1:17">
      <c r="A28" s="180"/>
      <c r="B28" s="184" t="s">
        <v>75</v>
      </c>
      <c r="C28" s="40" t="s">
        <v>73</v>
      </c>
      <c r="D28" s="41">
        <v>122</v>
      </c>
      <c r="E28" s="41">
        <v>64</v>
      </c>
      <c r="F28" s="41">
        <v>86</v>
      </c>
      <c r="G28" s="41">
        <v>56</v>
      </c>
      <c r="H28" s="41"/>
      <c r="I28" s="41"/>
      <c r="J28" s="41"/>
      <c r="K28" s="41"/>
      <c r="L28" s="41"/>
      <c r="M28" s="41"/>
      <c r="N28" s="41"/>
      <c r="O28" s="41"/>
      <c r="P28" s="42">
        <f t="shared" si="32"/>
        <v>328</v>
      </c>
      <c r="Q28" s="43">
        <f t="shared" si="33"/>
        <v>82</v>
      </c>
    </row>
    <row r="29" spans="1:17">
      <c r="A29" s="180"/>
      <c r="B29" s="185"/>
      <c r="C29" s="44" t="s">
        <v>74</v>
      </c>
      <c r="D29" s="45">
        <v>117</v>
      </c>
      <c r="E29" s="45">
        <v>66</v>
      </c>
      <c r="F29" s="45">
        <v>82</v>
      </c>
      <c r="G29" s="45">
        <v>64</v>
      </c>
      <c r="H29" s="45"/>
      <c r="I29" s="45"/>
      <c r="J29" s="45"/>
      <c r="K29" s="45"/>
      <c r="L29" s="45"/>
      <c r="M29" s="45"/>
      <c r="N29" s="45"/>
      <c r="O29" s="45"/>
      <c r="P29" s="46">
        <f t="shared" si="32"/>
        <v>329</v>
      </c>
      <c r="Q29" s="47">
        <f t="shared" si="33"/>
        <v>82.25</v>
      </c>
    </row>
    <row r="30" spans="1:17">
      <c r="A30" s="180"/>
      <c r="B30" s="186" t="s">
        <v>76</v>
      </c>
      <c r="C30" s="22" t="s">
        <v>73</v>
      </c>
      <c r="D30" s="23">
        <f>D28-D26</f>
        <v>0</v>
      </c>
      <c r="E30" s="23">
        <f t="shared" ref="E30:O30" si="34">E28-E26</f>
        <v>0</v>
      </c>
      <c r="F30" s="23">
        <f t="shared" si="34"/>
        <v>0</v>
      </c>
      <c r="G30" s="23">
        <f t="shared" si="34"/>
        <v>0</v>
      </c>
      <c r="H30" s="23">
        <f t="shared" ref="H30" si="35">H28-H26</f>
        <v>0</v>
      </c>
      <c r="I30" s="23">
        <f t="shared" si="34"/>
        <v>0</v>
      </c>
      <c r="J30" s="23">
        <f t="shared" si="34"/>
        <v>0</v>
      </c>
      <c r="K30" s="23">
        <f t="shared" si="34"/>
        <v>0</v>
      </c>
      <c r="L30" s="23">
        <f t="shared" si="34"/>
        <v>0</v>
      </c>
      <c r="M30" s="23">
        <f t="shared" si="34"/>
        <v>0</v>
      </c>
      <c r="N30" s="23">
        <f t="shared" si="34"/>
        <v>0</v>
      </c>
      <c r="O30" s="23">
        <f t="shared" si="34"/>
        <v>0</v>
      </c>
      <c r="P30" s="24">
        <f t="shared" si="32"/>
        <v>0</v>
      </c>
      <c r="Q30" s="48">
        <f t="shared" si="33"/>
        <v>0</v>
      </c>
    </row>
    <row r="31" spans="1:17">
      <c r="A31" s="180"/>
      <c r="B31" s="187"/>
      <c r="C31" s="26" t="s">
        <v>74</v>
      </c>
      <c r="D31">
        <f>D29-D27</f>
        <v>0</v>
      </c>
      <c r="E31">
        <f t="shared" ref="E31:O31" si="36">E29-E27</f>
        <v>0</v>
      </c>
      <c r="F31">
        <f t="shared" si="36"/>
        <v>0</v>
      </c>
      <c r="G31">
        <f t="shared" si="36"/>
        <v>0</v>
      </c>
      <c r="H31">
        <f t="shared" ref="H31" si="37">H29-H27</f>
        <v>0</v>
      </c>
      <c r="I31">
        <f t="shared" si="36"/>
        <v>0</v>
      </c>
      <c r="J31">
        <f t="shared" si="36"/>
        <v>0</v>
      </c>
      <c r="K31">
        <f t="shared" si="36"/>
        <v>0</v>
      </c>
      <c r="L31">
        <f t="shared" si="36"/>
        <v>0</v>
      </c>
      <c r="M31">
        <f t="shared" si="36"/>
        <v>0</v>
      </c>
      <c r="N31">
        <f t="shared" si="36"/>
        <v>0</v>
      </c>
      <c r="O31">
        <f t="shared" si="36"/>
        <v>0</v>
      </c>
      <c r="P31" s="27">
        <f t="shared" si="32"/>
        <v>0</v>
      </c>
      <c r="Q31" s="49">
        <f t="shared" si="33"/>
        <v>0</v>
      </c>
    </row>
    <row r="32" spans="1:17">
      <c r="A32" s="180"/>
      <c r="B32" s="186" t="s">
        <v>19</v>
      </c>
      <c r="C32" s="22" t="s">
        <v>73</v>
      </c>
      <c r="D32" s="50">
        <f>D30/D26</f>
        <v>0</v>
      </c>
      <c r="E32" s="50">
        <f t="shared" ref="E32:F32" si="38">E30/E26</f>
        <v>0</v>
      </c>
      <c r="F32" s="50">
        <f t="shared" si="38"/>
        <v>0</v>
      </c>
      <c r="G32" s="50">
        <f t="shared" ref="G32:H32" si="39">G30/G26</f>
        <v>0</v>
      </c>
      <c r="H32" s="50" t="e">
        <f t="shared" si="39"/>
        <v>#DIV/0!</v>
      </c>
      <c r="I32" s="50" t="e">
        <f t="shared" ref="I32:K32" si="40">I30/I26</f>
        <v>#DIV/0!</v>
      </c>
      <c r="J32" s="50" t="e">
        <f t="shared" si="40"/>
        <v>#DIV/0!</v>
      </c>
      <c r="K32" s="50" t="e">
        <f t="shared" si="40"/>
        <v>#DIV/0!</v>
      </c>
      <c r="L32" s="50" t="e">
        <f t="shared" ref="L32:M32" si="41">L30/L26</f>
        <v>#DIV/0!</v>
      </c>
      <c r="M32" s="50" t="e">
        <f t="shared" si="41"/>
        <v>#DIV/0!</v>
      </c>
      <c r="N32" s="50" t="e">
        <f t="shared" ref="N32" si="42">N30/N26</f>
        <v>#DIV/0!</v>
      </c>
      <c r="O32" s="50"/>
      <c r="P32" s="51"/>
      <c r="Q32" s="52" t="e">
        <f>AVERAGE(D32:O32)</f>
        <v>#DIV/0!</v>
      </c>
    </row>
    <row r="33" spans="1:17" ht="17.5" thickBot="1">
      <c r="A33" s="180"/>
      <c r="B33" s="187"/>
      <c r="C33" s="26" t="s">
        <v>74</v>
      </c>
      <c r="D33" s="53">
        <f>D31/D27</f>
        <v>0</v>
      </c>
      <c r="E33" s="53">
        <f t="shared" ref="E33:F33" si="43">E31/E27</f>
        <v>0</v>
      </c>
      <c r="F33" s="53">
        <f t="shared" si="43"/>
        <v>0</v>
      </c>
      <c r="G33" s="53">
        <f t="shared" ref="G33:H33" si="44">G31/G27</f>
        <v>0</v>
      </c>
      <c r="H33" s="53" t="e">
        <f t="shared" si="44"/>
        <v>#DIV/0!</v>
      </c>
      <c r="I33" s="53" t="e">
        <f t="shared" ref="I33:K33" si="45">I31/I27</f>
        <v>#DIV/0!</v>
      </c>
      <c r="J33" s="53" t="e">
        <f t="shared" si="45"/>
        <v>#DIV/0!</v>
      </c>
      <c r="K33" s="53" t="e">
        <f t="shared" si="45"/>
        <v>#DIV/0!</v>
      </c>
      <c r="L33" s="53" t="e">
        <f t="shared" ref="L33:M33" si="46">L31/L27</f>
        <v>#DIV/0!</v>
      </c>
      <c r="M33" s="53" t="e">
        <f t="shared" si="46"/>
        <v>#DIV/0!</v>
      </c>
      <c r="N33" s="53" t="e">
        <f t="shared" ref="N33" si="47">N31/N27</f>
        <v>#DIV/0!</v>
      </c>
      <c r="O33" s="53"/>
      <c r="P33" s="54"/>
      <c r="Q33" s="55" t="e">
        <f>AVERAGE(D33:O33)</f>
        <v>#DIV/0!</v>
      </c>
    </row>
    <row r="34" spans="1:17" ht="17.5" thickTop="1">
      <c r="A34" s="179" t="s">
        <v>4</v>
      </c>
      <c r="B34" s="182" t="s">
        <v>72</v>
      </c>
      <c r="C34" s="33" t="s">
        <v>73</v>
      </c>
      <c r="D34" s="34">
        <v>49</v>
      </c>
      <c r="E34" s="34">
        <v>55</v>
      </c>
      <c r="F34" s="34">
        <v>57</v>
      </c>
      <c r="G34" s="34">
        <v>150</v>
      </c>
      <c r="H34" s="34"/>
      <c r="I34" s="34"/>
      <c r="J34" s="34"/>
      <c r="K34" s="34"/>
      <c r="L34" s="34"/>
      <c r="M34" s="34"/>
      <c r="N34" s="34"/>
      <c r="O34" s="34"/>
      <c r="P34" s="35">
        <f t="shared" ref="P34:P39" si="48">SUM(D34:O34)</f>
        <v>311</v>
      </c>
      <c r="Q34" s="36">
        <f t="shared" ref="Q34:Q39" si="49">IFERROR(AVERAGE(D34:O34),"")</f>
        <v>77.75</v>
      </c>
    </row>
    <row r="35" spans="1:17">
      <c r="A35" s="180"/>
      <c r="B35" s="183"/>
      <c r="C35" s="37" t="s">
        <v>74</v>
      </c>
      <c r="D35" s="19">
        <v>48</v>
      </c>
      <c r="E35" s="19">
        <v>50</v>
      </c>
      <c r="F35" s="19">
        <v>57</v>
      </c>
      <c r="G35" s="19">
        <v>141</v>
      </c>
      <c r="H35" s="19"/>
      <c r="I35" s="19"/>
      <c r="J35" s="19"/>
      <c r="K35" s="19"/>
      <c r="L35" s="19"/>
      <c r="M35" s="19"/>
      <c r="N35" s="19"/>
      <c r="O35" s="19"/>
      <c r="P35" s="38">
        <f t="shared" si="48"/>
        <v>296</v>
      </c>
      <c r="Q35" s="39">
        <f t="shared" si="49"/>
        <v>74</v>
      </c>
    </row>
    <row r="36" spans="1:17">
      <c r="A36" s="180"/>
      <c r="B36" s="184" t="s">
        <v>75</v>
      </c>
      <c r="C36" s="40" t="s">
        <v>73</v>
      </c>
      <c r="D36" s="41">
        <v>49</v>
      </c>
      <c r="E36" s="41">
        <v>55</v>
      </c>
      <c r="F36" s="41">
        <v>57</v>
      </c>
      <c r="G36" s="41">
        <v>150</v>
      </c>
      <c r="H36" s="41"/>
      <c r="I36" s="41"/>
      <c r="J36" s="41"/>
      <c r="K36" s="41"/>
      <c r="L36" s="41"/>
      <c r="M36" s="41"/>
      <c r="N36" s="41"/>
      <c r="O36" s="41"/>
      <c r="P36" s="42">
        <f t="shared" si="48"/>
        <v>311</v>
      </c>
      <c r="Q36" s="43">
        <f t="shared" si="49"/>
        <v>77.75</v>
      </c>
    </row>
    <row r="37" spans="1:17">
      <c r="A37" s="180"/>
      <c r="B37" s="185"/>
      <c r="C37" s="44" t="s">
        <v>74</v>
      </c>
      <c r="D37" s="45">
        <v>48</v>
      </c>
      <c r="E37" s="45">
        <v>50</v>
      </c>
      <c r="F37" s="45">
        <v>57</v>
      </c>
      <c r="G37" s="45">
        <v>141</v>
      </c>
      <c r="H37" s="45"/>
      <c r="I37" s="45"/>
      <c r="J37" s="45"/>
      <c r="K37" s="45"/>
      <c r="L37" s="45"/>
      <c r="M37" s="45"/>
      <c r="N37" s="45"/>
      <c r="O37" s="45"/>
      <c r="P37" s="46">
        <f t="shared" si="48"/>
        <v>296</v>
      </c>
      <c r="Q37" s="47">
        <f t="shared" si="49"/>
        <v>74</v>
      </c>
    </row>
    <row r="38" spans="1:17">
      <c r="A38" s="180"/>
      <c r="B38" s="186" t="s">
        <v>76</v>
      </c>
      <c r="C38" s="22" t="s">
        <v>73</v>
      </c>
      <c r="D38" s="23">
        <f>D36-D34</f>
        <v>0</v>
      </c>
      <c r="E38" s="23">
        <f t="shared" ref="E38:O38" si="50">E36-E34</f>
        <v>0</v>
      </c>
      <c r="F38" s="23">
        <f t="shared" si="50"/>
        <v>0</v>
      </c>
      <c r="G38" s="23">
        <f t="shared" si="50"/>
        <v>0</v>
      </c>
      <c r="H38" s="23">
        <f t="shared" ref="H38" si="51">H36-H34</f>
        <v>0</v>
      </c>
      <c r="I38" s="23">
        <f t="shared" si="50"/>
        <v>0</v>
      </c>
      <c r="J38" s="23">
        <f t="shared" si="50"/>
        <v>0</v>
      </c>
      <c r="K38" s="23">
        <f t="shared" si="50"/>
        <v>0</v>
      </c>
      <c r="L38" s="23">
        <f t="shared" si="50"/>
        <v>0</v>
      </c>
      <c r="M38" s="23">
        <f t="shared" si="50"/>
        <v>0</v>
      </c>
      <c r="N38" s="23">
        <f t="shared" si="50"/>
        <v>0</v>
      </c>
      <c r="O38" s="23">
        <f t="shared" si="50"/>
        <v>0</v>
      </c>
      <c r="P38" s="24">
        <f t="shared" si="48"/>
        <v>0</v>
      </c>
      <c r="Q38" s="48">
        <f t="shared" si="49"/>
        <v>0</v>
      </c>
    </row>
    <row r="39" spans="1:17">
      <c r="A39" s="180"/>
      <c r="B39" s="187"/>
      <c r="C39" s="26" t="s">
        <v>74</v>
      </c>
      <c r="D39">
        <f>D37-D35</f>
        <v>0</v>
      </c>
      <c r="E39">
        <f t="shared" ref="E39:O39" si="52">E37-E35</f>
        <v>0</v>
      </c>
      <c r="F39">
        <f t="shared" si="52"/>
        <v>0</v>
      </c>
      <c r="G39">
        <f t="shared" si="52"/>
        <v>0</v>
      </c>
      <c r="H39">
        <f t="shared" ref="H39" si="53">H37-H35</f>
        <v>0</v>
      </c>
      <c r="I39">
        <f t="shared" si="52"/>
        <v>0</v>
      </c>
      <c r="J39">
        <f t="shared" si="52"/>
        <v>0</v>
      </c>
      <c r="K39">
        <f t="shared" si="52"/>
        <v>0</v>
      </c>
      <c r="L39">
        <f t="shared" si="52"/>
        <v>0</v>
      </c>
      <c r="M39">
        <f t="shared" si="52"/>
        <v>0</v>
      </c>
      <c r="N39">
        <f t="shared" si="52"/>
        <v>0</v>
      </c>
      <c r="O39">
        <f t="shared" si="52"/>
        <v>0</v>
      </c>
      <c r="P39" s="27">
        <f t="shared" si="48"/>
        <v>0</v>
      </c>
      <c r="Q39" s="49">
        <f t="shared" si="49"/>
        <v>0</v>
      </c>
    </row>
    <row r="40" spans="1:17">
      <c r="A40" s="180"/>
      <c r="B40" s="186" t="s">
        <v>19</v>
      </c>
      <c r="C40" s="22" t="s">
        <v>73</v>
      </c>
      <c r="D40" s="50">
        <f>D38/D34</f>
        <v>0</v>
      </c>
      <c r="E40" s="50">
        <f t="shared" ref="E40:F40" si="54">E38/E34</f>
        <v>0</v>
      </c>
      <c r="F40" s="50">
        <f t="shared" si="54"/>
        <v>0</v>
      </c>
      <c r="G40" s="50">
        <f t="shared" ref="G40:H40" si="55">G38/G34</f>
        <v>0</v>
      </c>
      <c r="H40" s="50" t="e">
        <f t="shared" si="55"/>
        <v>#DIV/0!</v>
      </c>
      <c r="I40" s="50" t="e">
        <f t="shared" ref="I40:K40" si="56">I38/I34</f>
        <v>#DIV/0!</v>
      </c>
      <c r="J40" s="50" t="e">
        <f t="shared" si="56"/>
        <v>#DIV/0!</v>
      </c>
      <c r="K40" s="50" t="e">
        <f t="shared" si="56"/>
        <v>#DIV/0!</v>
      </c>
      <c r="L40" s="50" t="e">
        <f t="shared" ref="L40:M40" si="57">L38/L34</f>
        <v>#DIV/0!</v>
      </c>
      <c r="M40" s="50" t="e">
        <f t="shared" si="57"/>
        <v>#DIV/0!</v>
      </c>
      <c r="N40" s="50" t="e">
        <f t="shared" ref="N40" si="58">N38/N34</f>
        <v>#DIV/0!</v>
      </c>
      <c r="O40" s="50"/>
      <c r="P40" s="51"/>
      <c r="Q40" s="52" t="e">
        <f>AVERAGE(D40:O40)</f>
        <v>#DIV/0!</v>
      </c>
    </row>
    <row r="41" spans="1:17" ht="17.5" thickBot="1">
      <c r="A41" s="180"/>
      <c r="B41" s="187"/>
      <c r="C41" s="26" t="s">
        <v>74</v>
      </c>
      <c r="D41" s="53">
        <f>D39/D35</f>
        <v>0</v>
      </c>
      <c r="E41" s="53">
        <f t="shared" ref="E41:F41" si="59">E39/E35</f>
        <v>0</v>
      </c>
      <c r="F41" s="53">
        <f t="shared" si="59"/>
        <v>0</v>
      </c>
      <c r="G41" s="53">
        <f t="shared" ref="G41:H41" si="60">G39/G35</f>
        <v>0</v>
      </c>
      <c r="H41" s="53" t="e">
        <f t="shared" si="60"/>
        <v>#DIV/0!</v>
      </c>
      <c r="I41" s="53" t="e">
        <f t="shared" ref="I41:K41" si="61">I39/I35</f>
        <v>#DIV/0!</v>
      </c>
      <c r="J41" s="53" t="e">
        <f t="shared" si="61"/>
        <v>#DIV/0!</v>
      </c>
      <c r="K41" s="53" t="e">
        <f t="shared" si="61"/>
        <v>#DIV/0!</v>
      </c>
      <c r="L41" s="53" t="e">
        <f t="shared" ref="L41:M41" si="62">L39/L35</f>
        <v>#DIV/0!</v>
      </c>
      <c r="M41" s="53" t="e">
        <f t="shared" si="62"/>
        <v>#DIV/0!</v>
      </c>
      <c r="N41" s="53" t="e">
        <f t="shared" ref="N41" si="63">N39/N35</f>
        <v>#DIV/0!</v>
      </c>
      <c r="O41" s="53"/>
      <c r="P41" s="54"/>
      <c r="Q41" s="55" t="e">
        <f>AVERAGE(D41:O41)</f>
        <v>#DIV/0!</v>
      </c>
    </row>
    <row r="42" spans="1:17" ht="17.5" thickTop="1">
      <c r="A42" s="179" t="s">
        <v>5</v>
      </c>
      <c r="B42" s="182" t="s">
        <v>72</v>
      </c>
      <c r="C42" s="33" t="s">
        <v>73</v>
      </c>
      <c r="D42" s="34">
        <v>49</v>
      </c>
      <c r="E42" s="34">
        <v>51</v>
      </c>
      <c r="F42" s="34">
        <v>47</v>
      </c>
      <c r="G42" s="34">
        <v>50</v>
      </c>
      <c r="H42" s="34"/>
      <c r="I42" s="34"/>
      <c r="J42" s="34"/>
      <c r="K42" s="34"/>
      <c r="L42" s="34"/>
      <c r="M42" s="34"/>
      <c r="N42" s="34"/>
      <c r="O42" s="34"/>
      <c r="P42" s="35">
        <f t="shared" ref="P42:P47" si="64">SUM(D42:O42)</f>
        <v>197</v>
      </c>
      <c r="Q42" s="36">
        <f t="shared" ref="Q42:Q47" si="65">IFERROR(AVERAGE(D42:O42),"")</f>
        <v>49.25</v>
      </c>
    </row>
    <row r="43" spans="1:17">
      <c r="A43" s="180"/>
      <c r="B43" s="183"/>
      <c r="C43" s="37" t="s">
        <v>74</v>
      </c>
      <c r="D43" s="19">
        <v>49</v>
      </c>
      <c r="E43" s="19">
        <v>49</v>
      </c>
      <c r="F43" s="19">
        <v>41</v>
      </c>
      <c r="G43" s="19">
        <v>47</v>
      </c>
      <c r="H43" s="19"/>
      <c r="I43" s="19"/>
      <c r="J43" s="19"/>
      <c r="K43" s="19"/>
      <c r="L43" s="19"/>
      <c r="M43" s="19"/>
      <c r="N43" s="19"/>
      <c r="O43" s="19"/>
      <c r="P43" s="38">
        <f t="shared" si="64"/>
        <v>186</v>
      </c>
      <c r="Q43" s="39">
        <f t="shared" si="65"/>
        <v>46.5</v>
      </c>
    </row>
    <row r="44" spans="1:17">
      <c r="A44" s="180"/>
      <c r="B44" s="184" t="s">
        <v>75</v>
      </c>
      <c r="C44" s="40" t="s">
        <v>73</v>
      </c>
      <c r="D44" s="41">
        <v>49</v>
      </c>
      <c r="E44" s="41">
        <v>51</v>
      </c>
      <c r="F44" s="41">
        <v>47</v>
      </c>
      <c r="G44" s="41">
        <v>50</v>
      </c>
      <c r="H44" s="41"/>
      <c r="I44" s="41"/>
      <c r="J44" s="41"/>
      <c r="K44" s="41"/>
      <c r="L44" s="41"/>
      <c r="M44" s="41"/>
      <c r="N44" s="41"/>
      <c r="O44" s="41"/>
      <c r="P44" s="42">
        <f t="shared" si="64"/>
        <v>197</v>
      </c>
      <c r="Q44" s="43">
        <f t="shared" si="65"/>
        <v>49.25</v>
      </c>
    </row>
    <row r="45" spans="1:17">
      <c r="A45" s="180"/>
      <c r="B45" s="185"/>
      <c r="C45" s="44" t="s">
        <v>74</v>
      </c>
      <c r="D45" s="45">
        <v>49</v>
      </c>
      <c r="E45" s="45">
        <v>49</v>
      </c>
      <c r="F45" s="45">
        <v>41</v>
      </c>
      <c r="G45" s="45">
        <v>47</v>
      </c>
      <c r="H45" s="45"/>
      <c r="I45" s="45"/>
      <c r="J45" s="45"/>
      <c r="K45" s="45"/>
      <c r="L45" s="45"/>
      <c r="M45" s="45"/>
      <c r="N45" s="45"/>
      <c r="O45" s="45"/>
      <c r="P45" s="46">
        <f t="shared" si="64"/>
        <v>186</v>
      </c>
      <c r="Q45" s="47">
        <f t="shared" si="65"/>
        <v>46.5</v>
      </c>
    </row>
    <row r="46" spans="1:17">
      <c r="A46" s="180"/>
      <c r="B46" s="186" t="s">
        <v>76</v>
      </c>
      <c r="C46" s="22" t="s">
        <v>73</v>
      </c>
      <c r="D46" s="23">
        <f>D44-D42</f>
        <v>0</v>
      </c>
      <c r="E46" s="23">
        <f t="shared" ref="E46:O46" si="66">E44-E42</f>
        <v>0</v>
      </c>
      <c r="F46" s="23">
        <f t="shared" si="66"/>
        <v>0</v>
      </c>
      <c r="G46" s="23">
        <f t="shared" si="66"/>
        <v>0</v>
      </c>
      <c r="H46" s="23">
        <f t="shared" ref="H46" si="67">H44-H42</f>
        <v>0</v>
      </c>
      <c r="I46" s="23">
        <f t="shared" si="66"/>
        <v>0</v>
      </c>
      <c r="J46" s="23">
        <f t="shared" si="66"/>
        <v>0</v>
      </c>
      <c r="K46" s="23">
        <f t="shared" si="66"/>
        <v>0</v>
      </c>
      <c r="L46" s="23">
        <f t="shared" si="66"/>
        <v>0</v>
      </c>
      <c r="M46" s="23">
        <f t="shared" si="66"/>
        <v>0</v>
      </c>
      <c r="N46" s="23">
        <f t="shared" si="66"/>
        <v>0</v>
      </c>
      <c r="O46" s="23">
        <f t="shared" si="66"/>
        <v>0</v>
      </c>
      <c r="P46" s="24">
        <f t="shared" si="64"/>
        <v>0</v>
      </c>
      <c r="Q46" s="48">
        <f t="shared" si="65"/>
        <v>0</v>
      </c>
    </row>
    <row r="47" spans="1:17">
      <c r="A47" s="180"/>
      <c r="B47" s="187"/>
      <c r="C47" s="26" t="s">
        <v>74</v>
      </c>
      <c r="D47">
        <f>D45-D43</f>
        <v>0</v>
      </c>
      <c r="E47">
        <f t="shared" ref="E47:O47" si="68">E45-E43</f>
        <v>0</v>
      </c>
      <c r="F47">
        <f t="shared" si="68"/>
        <v>0</v>
      </c>
      <c r="G47">
        <f t="shared" si="68"/>
        <v>0</v>
      </c>
      <c r="H47">
        <f t="shared" ref="H47" si="69">H45-H43</f>
        <v>0</v>
      </c>
      <c r="I47">
        <f t="shared" si="68"/>
        <v>0</v>
      </c>
      <c r="J47">
        <f t="shared" si="68"/>
        <v>0</v>
      </c>
      <c r="K47">
        <f t="shared" si="68"/>
        <v>0</v>
      </c>
      <c r="L47">
        <f t="shared" si="68"/>
        <v>0</v>
      </c>
      <c r="M47">
        <f t="shared" si="68"/>
        <v>0</v>
      </c>
      <c r="N47">
        <f t="shared" si="68"/>
        <v>0</v>
      </c>
      <c r="O47">
        <f t="shared" si="68"/>
        <v>0</v>
      </c>
      <c r="P47" s="27">
        <f t="shared" si="64"/>
        <v>0</v>
      </c>
      <c r="Q47" s="49">
        <f t="shared" si="65"/>
        <v>0</v>
      </c>
    </row>
    <row r="48" spans="1:17">
      <c r="A48" s="180"/>
      <c r="B48" s="186" t="s">
        <v>19</v>
      </c>
      <c r="C48" s="22" t="s">
        <v>73</v>
      </c>
      <c r="D48" s="50">
        <f>D46/D42</f>
        <v>0</v>
      </c>
      <c r="E48" s="50">
        <f t="shared" ref="E48:F48" si="70">E46/E42</f>
        <v>0</v>
      </c>
      <c r="F48" s="50">
        <f t="shared" si="70"/>
        <v>0</v>
      </c>
      <c r="G48" s="50">
        <f t="shared" ref="G48:H48" si="71">G46/G42</f>
        <v>0</v>
      </c>
      <c r="H48" s="50" t="e">
        <f t="shared" si="71"/>
        <v>#DIV/0!</v>
      </c>
      <c r="I48" s="50" t="e">
        <f t="shared" ref="I48:K48" si="72">I46/I42</f>
        <v>#DIV/0!</v>
      </c>
      <c r="J48" s="50" t="e">
        <f t="shared" si="72"/>
        <v>#DIV/0!</v>
      </c>
      <c r="K48" s="50" t="e">
        <f t="shared" si="72"/>
        <v>#DIV/0!</v>
      </c>
      <c r="L48" s="50" t="e">
        <f t="shared" ref="L48:M48" si="73">L46/L42</f>
        <v>#DIV/0!</v>
      </c>
      <c r="M48" s="50" t="e">
        <f t="shared" si="73"/>
        <v>#DIV/0!</v>
      </c>
      <c r="N48" s="50" t="e">
        <f t="shared" ref="N48" si="74">N46/N42</f>
        <v>#DIV/0!</v>
      </c>
      <c r="O48" s="50"/>
      <c r="P48" s="51"/>
      <c r="Q48" s="52" t="e">
        <f>AVERAGE(D48:O48)</f>
        <v>#DIV/0!</v>
      </c>
    </row>
    <row r="49" spans="1:17" ht="17.5" thickBot="1">
      <c r="A49" s="180"/>
      <c r="B49" s="187"/>
      <c r="C49" s="26" t="s">
        <v>74</v>
      </c>
      <c r="D49" s="53">
        <f>D47/D43</f>
        <v>0</v>
      </c>
      <c r="E49" s="53">
        <f t="shared" ref="E49:F49" si="75">E47/E43</f>
        <v>0</v>
      </c>
      <c r="F49" s="53">
        <f t="shared" si="75"/>
        <v>0</v>
      </c>
      <c r="G49" s="53">
        <f t="shared" ref="G49:H49" si="76">G47/G43</f>
        <v>0</v>
      </c>
      <c r="H49" s="53" t="e">
        <f t="shared" si="76"/>
        <v>#DIV/0!</v>
      </c>
      <c r="I49" s="53" t="e">
        <f t="shared" ref="I49:K49" si="77">I47/I43</f>
        <v>#DIV/0!</v>
      </c>
      <c r="J49" s="53" t="e">
        <f t="shared" si="77"/>
        <v>#DIV/0!</v>
      </c>
      <c r="K49" s="53" t="e">
        <f t="shared" si="77"/>
        <v>#DIV/0!</v>
      </c>
      <c r="L49" s="53" t="e">
        <f t="shared" ref="L49:M49" si="78">L47/L43</f>
        <v>#DIV/0!</v>
      </c>
      <c r="M49" s="53" t="e">
        <f t="shared" si="78"/>
        <v>#DIV/0!</v>
      </c>
      <c r="N49" s="53" t="e">
        <f t="shared" ref="N49" si="79">N47/N43</f>
        <v>#DIV/0!</v>
      </c>
      <c r="O49" s="53"/>
      <c r="P49" s="54"/>
      <c r="Q49" s="55" t="e">
        <f>AVERAGE(D49:O49)</f>
        <v>#DIV/0!</v>
      </c>
    </row>
    <row r="50" spans="1:17" ht="17.5" thickTop="1">
      <c r="A50" s="179" t="s">
        <v>6</v>
      </c>
      <c r="B50" s="182" t="s">
        <v>72</v>
      </c>
      <c r="C50" s="33" t="s">
        <v>73</v>
      </c>
      <c r="D50" s="34">
        <v>20</v>
      </c>
      <c r="E50" s="34">
        <v>13</v>
      </c>
      <c r="F50" s="34">
        <v>26</v>
      </c>
      <c r="G50" s="34">
        <v>24</v>
      </c>
      <c r="H50" s="34"/>
      <c r="I50" s="34"/>
      <c r="J50" s="34"/>
      <c r="K50" s="34"/>
      <c r="L50" s="34"/>
      <c r="M50" s="34"/>
      <c r="N50" s="34"/>
      <c r="O50" s="34"/>
      <c r="P50" s="35">
        <f t="shared" ref="P50:P55" si="80">SUM(D50:O50)</f>
        <v>83</v>
      </c>
      <c r="Q50" s="36">
        <f t="shared" ref="Q50:Q55" si="81">IFERROR(AVERAGE(D50:O50),"")</f>
        <v>20.75</v>
      </c>
    </row>
    <row r="51" spans="1:17">
      <c r="A51" s="180"/>
      <c r="B51" s="183"/>
      <c r="C51" s="37" t="s">
        <v>74</v>
      </c>
      <c r="D51" s="19">
        <v>23</v>
      </c>
      <c r="E51" s="19">
        <v>13</v>
      </c>
      <c r="F51" s="19">
        <v>25</v>
      </c>
      <c r="G51" s="19">
        <v>24</v>
      </c>
      <c r="H51" s="19"/>
      <c r="I51" s="19"/>
      <c r="J51" s="19"/>
      <c r="K51" s="19"/>
      <c r="L51" s="19"/>
      <c r="M51" s="19"/>
      <c r="N51" s="19"/>
      <c r="O51" s="19"/>
      <c r="P51" s="38">
        <f t="shared" si="80"/>
        <v>85</v>
      </c>
      <c r="Q51" s="39">
        <f t="shared" si="81"/>
        <v>21.25</v>
      </c>
    </row>
    <row r="52" spans="1:17">
      <c r="A52" s="180"/>
      <c r="B52" s="184" t="s">
        <v>75</v>
      </c>
      <c r="C52" s="40" t="s">
        <v>73</v>
      </c>
      <c r="D52" s="41">
        <v>20</v>
      </c>
      <c r="E52" s="41">
        <v>13</v>
      </c>
      <c r="F52" s="41">
        <v>26</v>
      </c>
      <c r="G52" s="41">
        <v>24</v>
      </c>
      <c r="H52" s="41"/>
      <c r="I52" s="41"/>
      <c r="J52" s="41"/>
      <c r="K52" s="41"/>
      <c r="L52" s="41"/>
      <c r="M52" s="41"/>
      <c r="N52" s="41"/>
      <c r="O52" s="41"/>
      <c r="P52" s="42">
        <f t="shared" si="80"/>
        <v>83</v>
      </c>
      <c r="Q52" s="43">
        <f t="shared" si="81"/>
        <v>20.75</v>
      </c>
    </row>
    <row r="53" spans="1:17">
      <c r="A53" s="180"/>
      <c r="B53" s="185"/>
      <c r="C53" s="44" t="s">
        <v>74</v>
      </c>
      <c r="D53" s="45">
        <v>23</v>
      </c>
      <c r="E53" s="45">
        <v>13</v>
      </c>
      <c r="F53" s="45">
        <v>25</v>
      </c>
      <c r="G53" s="45">
        <v>24</v>
      </c>
      <c r="H53" s="45"/>
      <c r="I53" s="45"/>
      <c r="J53" s="45"/>
      <c r="K53" s="45"/>
      <c r="L53" s="45"/>
      <c r="M53" s="45"/>
      <c r="N53" s="45"/>
      <c r="O53" s="45"/>
      <c r="P53" s="46">
        <f t="shared" si="80"/>
        <v>85</v>
      </c>
      <c r="Q53" s="47">
        <f t="shared" si="81"/>
        <v>21.25</v>
      </c>
    </row>
    <row r="54" spans="1:17">
      <c r="A54" s="180"/>
      <c r="B54" s="186" t="s">
        <v>76</v>
      </c>
      <c r="C54" s="22" t="s">
        <v>73</v>
      </c>
      <c r="D54" s="23">
        <f>D52-D50</f>
        <v>0</v>
      </c>
      <c r="E54" s="23">
        <f t="shared" ref="E54:O54" si="82">E52-E50</f>
        <v>0</v>
      </c>
      <c r="F54" s="23">
        <f t="shared" si="82"/>
        <v>0</v>
      </c>
      <c r="G54" s="23">
        <f t="shared" si="82"/>
        <v>0</v>
      </c>
      <c r="H54" s="23">
        <f t="shared" ref="H54" si="83">H52-H50</f>
        <v>0</v>
      </c>
      <c r="I54" s="23">
        <f t="shared" si="82"/>
        <v>0</v>
      </c>
      <c r="J54" s="23">
        <f t="shared" si="82"/>
        <v>0</v>
      </c>
      <c r="K54" s="23">
        <f t="shared" si="82"/>
        <v>0</v>
      </c>
      <c r="L54" s="23">
        <f t="shared" si="82"/>
        <v>0</v>
      </c>
      <c r="M54" s="23">
        <f t="shared" si="82"/>
        <v>0</v>
      </c>
      <c r="N54" s="23">
        <f t="shared" si="82"/>
        <v>0</v>
      </c>
      <c r="O54" s="23">
        <f t="shared" si="82"/>
        <v>0</v>
      </c>
      <c r="P54" s="24">
        <f t="shared" si="80"/>
        <v>0</v>
      </c>
      <c r="Q54" s="48">
        <f t="shared" si="81"/>
        <v>0</v>
      </c>
    </row>
    <row r="55" spans="1:17">
      <c r="A55" s="180"/>
      <c r="B55" s="187"/>
      <c r="C55" s="26" t="s">
        <v>74</v>
      </c>
      <c r="D55">
        <f>D53-D51</f>
        <v>0</v>
      </c>
      <c r="E55">
        <f t="shared" ref="E55:O55" si="84">E53-E51</f>
        <v>0</v>
      </c>
      <c r="F55">
        <f t="shared" si="84"/>
        <v>0</v>
      </c>
      <c r="G55">
        <f t="shared" si="84"/>
        <v>0</v>
      </c>
      <c r="H55">
        <f t="shared" ref="H55" si="85">H53-H51</f>
        <v>0</v>
      </c>
      <c r="I55">
        <f t="shared" si="84"/>
        <v>0</v>
      </c>
      <c r="J55">
        <f t="shared" si="84"/>
        <v>0</v>
      </c>
      <c r="K55">
        <f t="shared" si="84"/>
        <v>0</v>
      </c>
      <c r="L55">
        <f t="shared" si="84"/>
        <v>0</v>
      </c>
      <c r="M55">
        <f t="shared" si="84"/>
        <v>0</v>
      </c>
      <c r="N55">
        <f t="shared" si="84"/>
        <v>0</v>
      </c>
      <c r="O55">
        <f t="shared" si="84"/>
        <v>0</v>
      </c>
      <c r="P55" s="27">
        <f t="shared" si="80"/>
        <v>0</v>
      </c>
      <c r="Q55" s="49">
        <f t="shared" si="81"/>
        <v>0</v>
      </c>
    </row>
    <row r="56" spans="1:17">
      <c r="A56" s="180"/>
      <c r="B56" s="186" t="s">
        <v>19</v>
      </c>
      <c r="C56" s="22" t="s">
        <v>73</v>
      </c>
      <c r="D56" s="50">
        <f>D54/D50</f>
        <v>0</v>
      </c>
      <c r="E56" s="50">
        <f t="shared" ref="E56:F56" si="86">E54/E50</f>
        <v>0</v>
      </c>
      <c r="F56" s="50">
        <f t="shared" si="86"/>
        <v>0</v>
      </c>
      <c r="G56" s="50">
        <f t="shared" ref="G56:H56" si="87">G54/G50</f>
        <v>0</v>
      </c>
      <c r="H56" s="50" t="e">
        <f t="shared" si="87"/>
        <v>#DIV/0!</v>
      </c>
      <c r="I56" s="50" t="e">
        <f t="shared" ref="I56:K56" si="88">I54/I50</f>
        <v>#DIV/0!</v>
      </c>
      <c r="J56" s="50" t="e">
        <f t="shared" si="88"/>
        <v>#DIV/0!</v>
      </c>
      <c r="K56" s="50" t="e">
        <f t="shared" si="88"/>
        <v>#DIV/0!</v>
      </c>
      <c r="L56" s="50" t="e">
        <f t="shared" ref="L56:M56" si="89">L54/L50</f>
        <v>#DIV/0!</v>
      </c>
      <c r="M56" s="50" t="e">
        <f t="shared" si="89"/>
        <v>#DIV/0!</v>
      </c>
      <c r="N56" s="50" t="e">
        <f t="shared" ref="N56" si="90">N54/N50</f>
        <v>#DIV/0!</v>
      </c>
      <c r="O56" s="50"/>
      <c r="P56" s="51"/>
      <c r="Q56" s="52" t="e">
        <f>AVERAGE(D56:O56)</f>
        <v>#DIV/0!</v>
      </c>
    </row>
    <row r="57" spans="1:17">
      <c r="A57" s="180"/>
      <c r="B57" s="187"/>
      <c r="C57" s="26" t="s">
        <v>74</v>
      </c>
      <c r="D57" s="53">
        <f>D55/D51</f>
        <v>0</v>
      </c>
      <c r="E57" s="53">
        <f t="shared" ref="E57:F57" si="91">E55/E51</f>
        <v>0</v>
      </c>
      <c r="F57" s="53">
        <f t="shared" si="91"/>
        <v>0</v>
      </c>
      <c r="G57" s="53">
        <f t="shared" ref="G57:H57" si="92">G55/G51</f>
        <v>0</v>
      </c>
      <c r="H57" s="53" t="e">
        <f t="shared" si="92"/>
        <v>#DIV/0!</v>
      </c>
      <c r="I57" s="53" t="e">
        <f t="shared" ref="I57:K57" si="93">I55/I51</f>
        <v>#DIV/0!</v>
      </c>
      <c r="J57" s="53" t="e">
        <f t="shared" si="93"/>
        <v>#DIV/0!</v>
      </c>
      <c r="K57" s="53" t="e">
        <f t="shared" si="93"/>
        <v>#DIV/0!</v>
      </c>
      <c r="L57" s="53" t="e">
        <f t="shared" ref="L57:M57" si="94">L55/L51</f>
        <v>#DIV/0!</v>
      </c>
      <c r="M57" s="53" t="e">
        <f t="shared" si="94"/>
        <v>#DIV/0!</v>
      </c>
      <c r="N57" s="53" t="e">
        <f t="shared" ref="N57" si="95">N55/N51</f>
        <v>#DIV/0!</v>
      </c>
      <c r="O57" s="53"/>
      <c r="P57" s="54"/>
      <c r="Q57" s="55" t="e">
        <f>AVERAGE(D57:O57)</f>
        <v>#DIV/0!</v>
      </c>
    </row>
    <row r="58" spans="1:17">
      <c r="A58" s="179" t="s">
        <v>7</v>
      </c>
      <c r="B58" s="182" t="s">
        <v>72</v>
      </c>
      <c r="C58" s="33" t="s">
        <v>73</v>
      </c>
      <c r="D58" s="34">
        <v>89</v>
      </c>
      <c r="E58" s="34">
        <v>80</v>
      </c>
      <c r="F58" s="34">
        <v>106</v>
      </c>
      <c r="G58" s="34">
        <v>105</v>
      </c>
      <c r="H58" s="34"/>
      <c r="I58" s="34"/>
      <c r="J58" s="34"/>
      <c r="K58" s="34"/>
      <c r="L58" s="34"/>
      <c r="M58" s="34"/>
      <c r="N58" s="34"/>
      <c r="O58" s="34"/>
      <c r="P58" s="35">
        <f t="shared" ref="P58:P63" si="96">SUM(D58:O58)</f>
        <v>380</v>
      </c>
      <c r="Q58" s="36">
        <f t="shared" ref="Q58:Q63" si="97">IFERROR(AVERAGE(D58:O58),"")</f>
        <v>95</v>
      </c>
    </row>
    <row r="59" spans="1:17">
      <c r="A59" s="180"/>
      <c r="B59" s="183"/>
      <c r="C59" s="37" t="s">
        <v>74</v>
      </c>
      <c r="D59" s="19">
        <v>79</v>
      </c>
      <c r="E59" s="19">
        <v>84</v>
      </c>
      <c r="F59" s="19">
        <v>101</v>
      </c>
      <c r="G59" s="19">
        <v>113</v>
      </c>
      <c r="H59" s="19"/>
      <c r="I59" s="19"/>
      <c r="J59" s="19"/>
      <c r="K59" s="19"/>
      <c r="L59" s="19"/>
      <c r="M59" s="19"/>
      <c r="N59" s="19"/>
      <c r="O59" s="19"/>
      <c r="P59" s="38">
        <f t="shared" si="96"/>
        <v>377</v>
      </c>
      <c r="Q59" s="39">
        <f t="shared" si="97"/>
        <v>94.25</v>
      </c>
    </row>
    <row r="60" spans="1:17">
      <c r="A60" s="180"/>
      <c r="B60" s="184" t="s">
        <v>75</v>
      </c>
      <c r="C60" s="40" t="s">
        <v>73</v>
      </c>
      <c r="D60" s="41">
        <v>89</v>
      </c>
      <c r="E60" s="41">
        <v>80</v>
      </c>
      <c r="F60" s="41">
        <v>106</v>
      </c>
      <c r="G60" s="41">
        <v>105</v>
      </c>
      <c r="H60" s="41"/>
      <c r="I60" s="41"/>
      <c r="J60" s="41"/>
      <c r="K60" s="41"/>
      <c r="L60" s="41"/>
      <c r="M60" s="41"/>
      <c r="N60" s="41"/>
      <c r="O60" s="41"/>
      <c r="P60" s="42">
        <f t="shared" si="96"/>
        <v>380</v>
      </c>
      <c r="Q60" s="43">
        <f t="shared" si="97"/>
        <v>95</v>
      </c>
    </row>
    <row r="61" spans="1:17">
      <c r="A61" s="180"/>
      <c r="B61" s="185"/>
      <c r="C61" s="44" t="s">
        <v>74</v>
      </c>
      <c r="D61" s="45">
        <v>79</v>
      </c>
      <c r="E61" s="45">
        <v>84</v>
      </c>
      <c r="F61" s="45">
        <v>101</v>
      </c>
      <c r="G61" s="45">
        <v>113</v>
      </c>
      <c r="H61" s="45"/>
      <c r="I61" s="45"/>
      <c r="J61" s="45"/>
      <c r="K61" s="45"/>
      <c r="L61" s="45"/>
      <c r="M61" s="45"/>
      <c r="N61" s="45"/>
      <c r="O61" s="45"/>
      <c r="P61" s="46">
        <f t="shared" si="96"/>
        <v>377</v>
      </c>
      <c r="Q61" s="47">
        <f t="shared" si="97"/>
        <v>94.25</v>
      </c>
    </row>
    <row r="62" spans="1:17">
      <c r="A62" s="180"/>
      <c r="B62" s="186" t="s">
        <v>76</v>
      </c>
      <c r="C62" s="22" t="s">
        <v>73</v>
      </c>
      <c r="D62" s="23">
        <f>D60-D58</f>
        <v>0</v>
      </c>
      <c r="E62" s="23">
        <f t="shared" ref="E62:F62" si="98">E60-E58</f>
        <v>0</v>
      </c>
      <c r="F62" s="23">
        <f t="shared" si="98"/>
        <v>0</v>
      </c>
      <c r="G62" s="23">
        <f t="shared" ref="G62:H62" si="99">G60-G58</f>
        <v>0</v>
      </c>
      <c r="H62" s="23">
        <f t="shared" si="99"/>
        <v>0</v>
      </c>
      <c r="I62" s="23">
        <f t="shared" ref="I62:O62" si="100">I60-I58</f>
        <v>0</v>
      </c>
      <c r="J62" s="23">
        <f t="shared" si="100"/>
        <v>0</v>
      </c>
      <c r="K62" s="23">
        <f t="shared" si="100"/>
        <v>0</v>
      </c>
      <c r="L62" s="23">
        <f t="shared" si="100"/>
        <v>0</v>
      </c>
      <c r="M62" s="23">
        <f t="shared" si="100"/>
        <v>0</v>
      </c>
      <c r="N62" s="23">
        <f t="shared" si="100"/>
        <v>0</v>
      </c>
      <c r="O62" s="23">
        <f t="shared" si="100"/>
        <v>0</v>
      </c>
      <c r="P62" s="24">
        <f t="shared" si="96"/>
        <v>0</v>
      </c>
      <c r="Q62" s="48">
        <f t="shared" si="97"/>
        <v>0</v>
      </c>
    </row>
    <row r="63" spans="1:17">
      <c r="A63" s="180"/>
      <c r="B63" s="187"/>
      <c r="C63" s="26" t="s">
        <v>74</v>
      </c>
      <c r="D63">
        <f>D61-D59</f>
        <v>0</v>
      </c>
      <c r="E63">
        <f t="shared" ref="E63:F63" si="101">E61-E59</f>
        <v>0</v>
      </c>
      <c r="F63">
        <f t="shared" si="101"/>
        <v>0</v>
      </c>
      <c r="G63">
        <f t="shared" ref="G63:H63" si="102">G61-G59</f>
        <v>0</v>
      </c>
      <c r="H63">
        <f t="shared" si="102"/>
        <v>0</v>
      </c>
      <c r="I63">
        <f t="shared" ref="I63:O63" si="103">I61-I59</f>
        <v>0</v>
      </c>
      <c r="J63">
        <f t="shared" si="103"/>
        <v>0</v>
      </c>
      <c r="K63">
        <f t="shared" si="103"/>
        <v>0</v>
      </c>
      <c r="L63">
        <f t="shared" si="103"/>
        <v>0</v>
      </c>
      <c r="M63">
        <f t="shared" si="103"/>
        <v>0</v>
      </c>
      <c r="N63">
        <f t="shared" si="103"/>
        <v>0</v>
      </c>
      <c r="O63">
        <f t="shared" si="103"/>
        <v>0</v>
      </c>
      <c r="P63" s="27">
        <f t="shared" si="96"/>
        <v>0</v>
      </c>
      <c r="Q63" s="49">
        <f t="shared" si="97"/>
        <v>0</v>
      </c>
    </row>
    <row r="64" spans="1:17">
      <c r="A64" s="180"/>
      <c r="B64" s="186" t="s">
        <v>19</v>
      </c>
      <c r="C64" s="22" t="s">
        <v>73</v>
      </c>
      <c r="D64" s="50">
        <f>D62/D58</f>
        <v>0</v>
      </c>
      <c r="E64" s="50">
        <f t="shared" ref="E64" si="104">E62/E58</f>
        <v>0</v>
      </c>
      <c r="F64" s="50">
        <f t="shared" ref="F64:H65" si="105">F62/F58</f>
        <v>0</v>
      </c>
      <c r="G64" s="50">
        <f t="shared" si="105"/>
        <v>0</v>
      </c>
      <c r="H64" s="50" t="e">
        <f t="shared" si="105"/>
        <v>#DIV/0!</v>
      </c>
      <c r="I64" s="50" t="e">
        <f t="shared" ref="I64:K64" si="106">I62/I58</f>
        <v>#DIV/0!</v>
      </c>
      <c r="J64" s="50" t="e">
        <f t="shared" si="106"/>
        <v>#DIV/0!</v>
      </c>
      <c r="K64" s="50" t="e">
        <f t="shared" si="106"/>
        <v>#DIV/0!</v>
      </c>
      <c r="L64" s="50" t="e">
        <f t="shared" ref="L64" si="107">L62/L58</f>
        <v>#DIV/0!</v>
      </c>
      <c r="M64" s="50" t="e">
        <f>M62/M58</f>
        <v>#DIV/0!</v>
      </c>
      <c r="N64" s="50" t="e">
        <f>N62/N58</f>
        <v>#DIV/0!</v>
      </c>
      <c r="O64" s="50"/>
      <c r="P64" s="51"/>
      <c r="Q64" s="52" t="e">
        <f>AVERAGE(D64:O64)</f>
        <v>#DIV/0!</v>
      </c>
    </row>
    <row r="65" spans="1:17" ht="17.5" thickBot="1">
      <c r="A65" s="181"/>
      <c r="B65" s="188"/>
      <c r="C65" s="56" t="s">
        <v>74</v>
      </c>
      <c r="D65" s="57">
        <f>D63/D59</f>
        <v>0</v>
      </c>
      <c r="E65" s="57">
        <f t="shared" ref="E65" si="108">E63/E59</f>
        <v>0</v>
      </c>
      <c r="F65" s="57">
        <f t="shared" si="105"/>
        <v>0</v>
      </c>
      <c r="G65" s="57">
        <f t="shared" si="105"/>
        <v>0</v>
      </c>
      <c r="H65" s="57" t="e">
        <f t="shared" si="105"/>
        <v>#DIV/0!</v>
      </c>
      <c r="I65" s="57" t="e">
        <f t="shared" ref="I65:K65" si="109">I63/I59</f>
        <v>#DIV/0!</v>
      </c>
      <c r="J65" s="57" t="e">
        <f t="shared" si="109"/>
        <v>#DIV/0!</v>
      </c>
      <c r="K65" s="57" t="e">
        <f t="shared" si="109"/>
        <v>#DIV/0!</v>
      </c>
      <c r="L65" s="57" t="e">
        <f t="shared" ref="L65" si="110">L63/L59</f>
        <v>#DIV/0!</v>
      </c>
      <c r="M65" s="57" t="e">
        <f>M63/M59</f>
        <v>#DIV/0!</v>
      </c>
      <c r="N65" s="57" t="e">
        <f>N63/N59</f>
        <v>#DIV/0!</v>
      </c>
      <c r="O65" s="57"/>
      <c r="P65" s="58"/>
      <c r="Q65" s="59" t="e">
        <f>AVERAGE(D65:O65)</f>
        <v>#DIV/0!</v>
      </c>
    </row>
    <row r="66" spans="1:17" ht="17.5" thickTop="1">
      <c r="A66" s="179" t="s">
        <v>8</v>
      </c>
      <c r="B66" s="182" t="s">
        <v>72</v>
      </c>
      <c r="C66" s="33" t="s">
        <v>73</v>
      </c>
      <c r="D66" s="34">
        <v>105</v>
      </c>
      <c r="E66" s="34">
        <v>85</v>
      </c>
      <c r="F66" s="34">
        <v>94</v>
      </c>
      <c r="G66" s="34">
        <v>78</v>
      </c>
      <c r="H66" s="34"/>
      <c r="I66" s="34"/>
      <c r="J66" s="34"/>
      <c r="K66" s="34"/>
      <c r="L66" s="34"/>
      <c r="M66" s="34"/>
      <c r="N66" s="34"/>
      <c r="O66" s="34"/>
      <c r="P66" s="35">
        <f t="shared" ref="P66:P71" si="111">SUM(D66:O66)</f>
        <v>362</v>
      </c>
      <c r="Q66" s="36">
        <f t="shared" ref="Q66:Q71" si="112">IFERROR(AVERAGE(D66:O66),"")</f>
        <v>90.5</v>
      </c>
    </row>
    <row r="67" spans="1:17">
      <c r="A67" s="180"/>
      <c r="B67" s="183"/>
      <c r="C67" s="37" t="s">
        <v>74</v>
      </c>
      <c r="D67" s="19">
        <v>64</v>
      </c>
      <c r="E67" s="19">
        <v>48</v>
      </c>
      <c r="F67" s="19">
        <v>49</v>
      </c>
      <c r="G67" s="19">
        <v>23</v>
      </c>
      <c r="H67" s="19"/>
      <c r="I67" s="19"/>
      <c r="J67" s="19"/>
      <c r="K67" s="19"/>
      <c r="L67" s="19"/>
      <c r="M67" s="19"/>
      <c r="N67" s="19"/>
      <c r="O67" s="19"/>
      <c r="P67" s="38">
        <f t="shared" si="111"/>
        <v>184</v>
      </c>
      <c r="Q67" s="39">
        <f t="shared" si="112"/>
        <v>46</v>
      </c>
    </row>
    <row r="68" spans="1:17">
      <c r="A68" s="180"/>
      <c r="B68" s="184" t="s">
        <v>75</v>
      </c>
      <c r="C68" s="40" t="s">
        <v>73</v>
      </c>
      <c r="D68" s="41">
        <v>105</v>
      </c>
      <c r="E68" s="41">
        <v>85</v>
      </c>
      <c r="F68" s="41">
        <v>94</v>
      </c>
      <c r="G68" s="41">
        <v>78</v>
      </c>
      <c r="H68" s="41"/>
      <c r="I68" s="41"/>
      <c r="J68" s="41"/>
      <c r="K68" s="41"/>
      <c r="L68" s="41"/>
      <c r="M68" s="41"/>
      <c r="N68" s="41"/>
      <c r="O68" s="41"/>
      <c r="P68" s="42">
        <f t="shared" si="111"/>
        <v>362</v>
      </c>
      <c r="Q68" s="43">
        <f t="shared" si="112"/>
        <v>90.5</v>
      </c>
    </row>
    <row r="69" spans="1:17">
      <c r="A69" s="180"/>
      <c r="B69" s="185"/>
      <c r="C69" s="44" t="s">
        <v>74</v>
      </c>
      <c r="D69" s="45">
        <v>64</v>
      </c>
      <c r="E69" s="45">
        <v>48</v>
      </c>
      <c r="F69" s="45">
        <v>49</v>
      </c>
      <c r="G69" s="45">
        <v>23</v>
      </c>
      <c r="H69" s="45"/>
      <c r="I69" s="45"/>
      <c r="J69" s="45"/>
      <c r="K69" s="45"/>
      <c r="L69" s="45"/>
      <c r="M69" s="45"/>
      <c r="N69" s="45"/>
      <c r="O69" s="45"/>
      <c r="P69" s="46">
        <f t="shared" si="111"/>
        <v>184</v>
      </c>
      <c r="Q69" s="47">
        <f t="shared" si="112"/>
        <v>46</v>
      </c>
    </row>
    <row r="70" spans="1:17">
      <c r="A70" s="180"/>
      <c r="B70" s="186" t="s">
        <v>76</v>
      </c>
      <c r="C70" s="22" t="s">
        <v>73</v>
      </c>
      <c r="D70" s="23">
        <f>D68-D66</f>
        <v>0</v>
      </c>
      <c r="E70" s="23">
        <f t="shared" ref="E70:O70" si="113">E68-E66</f>
        <v>0</v>
      </c>
      <c r="F70" s="23">
        <f t="shared" si="113"/>
        <v>0</v>
      </c>
      <c r="G70" s="23">
        <f t="shared" si="113"/>
        <v>0</v>
      </c>
      <c r="H70" s="23">
        <f t="shared" si="113"/>
        <v>0</v>
      </c>
      <c r="I70" s="23">
        <f t="shared" si="113"/>
        <v>0</v>
      </c>
      <c r="J70" s="23">
        <f t="shared" si="113"/>
        <v>0</v>
      </c>
      <c r="K70" s="23">
        <f t="shared" si="113"/>
        <v>0</v>
      </c>
      <c r="L70" s="23">
        <f t="shared" si="113"/>
        <v>0</v>
      </c>
      <c r="M70" s="23">
        <f t="shared" si="113"/>
        <v>0</v>
      </c>
      <c r="N70" s="23">
        <f t="shared" si="113"/>
        <v>0</v>
      </c>
      <c r="O70" s="23">
        <f t="shared" si="113"/>
        <v>0</v>
      </c>
      <c r="P70" s="24">
        <f t="shared" si="111"/>
        <v>0</v>
      </c>
      <c r="Q70" s="48">
        <f t="shared" si="112"/>
        <v>0</v>
      </c>
    </row>
    <row r="71" spans="1:17">
      <c r="A71" s="180"/>
      <c r="B71" s="187"/>
      <c r="C71" s="26" t="s">
        <v>74</v>
      </c>
      <c r="D71">
        <f>D69-D67</f>
        <v>0</v>
      </c>
      <c r="E71">
        <f t="shared" ref="E71:O71" si="114">E69-E67</f>
        <v>0</v>
      </c>
      <c r="F71">
        <f t="shared" si="114"/>
        <v>0</v>
      </c>
      <c r="G71">
        <f t="shared" si="114"/>
        <v>0</v>
      </c>
      <c r="H71">
        <f t="shared" si="114"/>
        <v>0</v>
      </c>
      <c r="I71">
        <f t="shared" si="114"/>
        <v>0</v>
      </c>
      <c r="J71">
        <f t="shared" si="114"/>
        <v>0</v>
      </c>
      <c r="K71">
        <f t="shared" si="114"/>
        <v>0</v>
      </c>
      <c r="L71">
        <f t="shared" si="114"/>
        <v>0</v>
      </c>
      <c r="M71">
        <f t="shared" si="114"/>
        <v>0</v>
      </c>
      <c r="N71">
        <f t="shared" si="114"/>
        <v>0</v>
      </c>
      <c r="O71">
        <f t="shared" si="114"/>
        <v>0</v>
      </c>
      <c r="P71" s="27">
        <f t="shared" si="111"/>
        <v>0</v>
      </c>
      <c r="Q71" s="49">
        <f t="shared" si="112"/>
        <v>0</v>
      </c>
    </row>
    <row r="72" spans="1:17">
      <c r="A72" s="180"/>
      <c r="B72" s="186" t="s">
        <v>19</v>
      </c>
      <c r="C72" s="22" t="s">
        <v>73</v>
      </c>
      <c r="D72" s="50">
        <f>D70/D66</f>
        <v>0</v>
      </c>
      <c r="E72" s="50">
        <f t="shared" ref="E72:L73" si="115">E70/E66</f>
        <v>0</v>
      </c>
      <c r="F72" s="50">
        <f t="shared" si="115"/>
        <v>0</v>
      </c>
      <c r="G72" s="50">
        <f t="shared" si="115"/>
        <v>0</v>
      </c>
      <c r="H72" s="50" t="e">
        <f t="shared" si="115"/>
        <v>#DIV/0!</v>
      </c>
      <c r="I72" s="50" t="e">
        <f t="shared" si="115"/>
        <v>#DIV/0!</v>
      </c>
      <c r="J72" s="50" t="e">
        <f t="shared" si="115"/>
        <v>#DIV/0!</v>
      </c>
      <c r="K72" s="50" t="e">
        <f t="shared" si="115"/>
        <v>#DIV/0!</v>
      </c>
      <c r="L72" s="50" t="e">
        <f t="shared" si="115"/>
        <v>#DIV/0!</v>
      </c>
      <c r="M72" s="50" t="e">
        <f>M70/M66</f>
        <v>#DIV/0!</v>
      </c>
      <c r="N72" s="50" t="e">
        <f>N70/N66</f>
        <v>#DIV/0!</v>
      </c>
      <c r="O72" s="50"/>
      <c r="P72" s="51"/>
      <c r="Q72" s="52" t="e">
        <f>AVERAGE(D72:O72)</f>
        <v>#DIV/0!</v>
      </c>
    </row>
    <row r="73" spans="1:17" ht="17.5" thickBot="1">
      <c r="A73" s="181"/>
      <c r="B73" s="188"/>
      <c r="C73" s="56" t="s">
        <v>74</v>
      </c>
      <c r="D73" s="57">
        <f>D71/D67</f>
        <v>0</v>
      </c>
      <c r="E73" s="57">
        <f t="shared" si="115"/>
        <v>0</v>
      </c>
      <c r="F73" s="57">
        <f t="shared" si="115"/>
        <v>0</v>
      </c>
      <c r="G73" s="57">
        <f t="shared" si="115"/>
        <v>0</v>
      </c>
      <c r="H73" s="57" t="e">
        <f t="shared" si="115"/>
        <v>#DIV/0!</v>
      </c>
      <c r="I73" s="57" t="e">
        <f t="shared" si="115"/>
        <v>#DIV/0!</v>
      </c>
      <c r="J73" s="57" t="e">
        <f t="shared" si="115"/>
        <v>#DIV/0!</v>
      </c>
      <c r="K73" s="57" t="e">
        <f t="shared" si="115"/>
        <v>#DIV/0!</v>
      </c>
      <c r="L73" s="57" t="e">
        <f t="shared" si="115"/>
        <v>#DIV/0!</v>
      </c>
      <c r="M73" s="57" t="e">
        <f>M71/M67</f>
        <v>#DIV/0!</v>
      </c>
      <c r="N73" s="57" t="e">
        <f>N71/N67</f>
        <v>#DIV/0!</v>
      </c>
      <c r="O73" s="57"/>
      <c r="P73" s="58"/>
      <c r="Q73" s="59" t="e">
        <f>AVERAGE(D73:O73)</f>
        <v>#DIV/0!</v>
      </c>
    </row>
    <row r="74" spans="1:17" ht="17.5" thickTop="1"/>
    <row r="75" spans="1:17">
      <c r="C75" s="32" t="s">
        <v>77</v>
      </c>
    </row>
  </sheetData>
  <mergeCells count="46">
    <mergeCell ref="A10:A17"/>
    <mergeCell ref="B10:B11"/>
    <mergeCell ref="B12:B13"/>
    <mergeCell ref="B14:B15"/>
    <mergeCell ref="B16:B17"/>
    <mergeCell ref="A1:C1"/>
    <mergeCell ref="A2:A9"/>
    <mergeCell ref="B2:B3"/>
    <mergeCell ref="B4:B5"/>
    <mergeCell ref="B6:B7"/>
    <mergeCell ref="B8:B9"/>
    <mergeCell ref="A26:A33"/>
    <mergeCell ref="B26:B27"/>
    <mergeCell ref="B28:B29"/>
    <mergeCell ref="B30:B31"/>
    <mergeCell ref="B32:B33"/>
    <mergeCell ref="A18:A25"/>
    <mergeCell ref="B18:B19"/>
    <mergeCell ref="B20:B21"/>
    <mergeCell ref="B22:B23"/>
    <mergeCell ref="B24:B25"/>
    <mergeCell ref="A34:A41"/>
    <mergeCell ref="B34:B35"/>
    <mergeCell ref="B36:B37"/>
    <mergeCell ref="B38:B39"/>
    <mergeCell ref="B40:B41"/>
    <mergeCell ref="A50:A57"/>
    <mergeCell ref="B50:B51"/>
    <mergeCell ref="B52:B53"/>
    <mergeCell ref="B54:B55"/>
    <mergeCell ref="B56:B57"/>
    <mergeCell ref="A42:A49"/>
    <mergeCell ref="B42:B43"/>
    <mergeCell ref="B44:B45"/>
    <mergeCell ref="B46:B47"/>
    <mergeCell ref="B48:B49"/>
    <mergeCell ref="A58:A65"/>
    <mergeCell ref="B58:B59"/>
    <mergeCell ref="B60:B61"/>
    <mergeCell ref="B62:B63"/>
    <mergeCell ref="B64:B65"/>
    <mergeCell ref="A66:A73"/>
    <mergeCell ref="B66:B67"/>
    <mergeCell ref="B68:B69"/>
    <mergeCell ref="B70:B71"/>
    <mergeCell ref="B72:B73"/>
  </mergeCells>
  <phoneticPr fontId="2" type="noConversion"/>
  <conditionalFormatting sqref="D6:Q9">
    <cfRule type="cellIs" dxfId="12" priority="32" operator="notEqual">
      <formula>0</formula>
    </cfRule>
  </conditionalFormatting>
  <conditionalFormatting sqref="D14:Q17">
    <cfRule type="cellIs" dxfId="11" priority="1" operator="notEqual">
      <formula>0</formula>
    </cfRule>
  </conditionalFormatting>
  <conditionalFormatting sqref="D22:Q25">
    <cfRule type="cellIs" dxfId="10" priority="16" operator="notEqual">
      <formula>0</formula>
    </cfRule>
  </conditionalFormatting>
  <conditionalFormatting sqref="D30:Q33">
    <cfRule type="cellIs" dxfId="9" priority="14" operator="notEqual">
      <formula>0</formula>
    </cfRule>
  </conditionalFormatting>
  <conditionalFormatting sqref="D38:Q41">
    <cfRule type="cellIs" dxfId="8" priority="10" operator="notEqual">
      <formula>0</formula>
    </cfRule>
  </conditionalFormatting>
  <conditionalFormatting sqref="D46:Q49">
    <cfRule type="cellIs" dxfId="7" priority="8" operator="notEqual">
      <formula>0</formula>
    </cfRule>
  </conditionalFormatting>
  <conditionalFormatting sqref="D54:Q57">
    <cfRule type="cellIs" dxfId="6" priority="6" operator="notEqual">
      <formula>0</formula>
    </cfRule>
  </conditionalFormatting>
  <conditionalFormatting sqref="D62:Q65 D70:Q73">
    <cfRule type="cellIs" dxfId="5" priority="5" operator="not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E216-82AB-4E2D-A602-B7250A66D492}">
  <dimension ref="A1:AB39"/>
  <sheetViews>
    <sheetView zoomScale="90" zoomScaleNormal="90" workbookViewId="0">
      <selection activeCell="G16" sqref="G16"/>
    </sheetView>
  </sheetViews>
  <sheetFormatPr defaultRowHeight="17"/>
  <cols>
    <col min="2" max="2" width="15.36328125" bestFit="1" customWidth="1"/>
    <col min="3" max="14" width="8.7265625" customWidth="1"/>
    <col min="15" max="15" width="11.36328125" customWidth="1"/>
    <col min="20" max="20" width="13.7265625" customWidth="1"/>
  </cols>
  <sheetData>
    <row r="1" spans="1:28">
      <c r="A1" s="193" t="s">
        <v>78</v>
      </c>
      <c r="B1" s="194"/>
      <c r="C1" s="62" t="s">
        <v>58</v>
      </c>
      <c r="D1" s="20" t="s">
        <v>59</v>
      </c>
      <c r="E1" s="20" t="s">
        <v>60</v>
      </c>
      <c r="F1" s="20" t="s">
        <v>61</v>
      </c>
      <c r="G1" s="20" t="s">
        <v>62</v>
      </c>
      <c r="H1" s="20" t="s">
        <v>63</v>
      </c>
      <c r="I1" s="20" t="s">
        <v>64</v>
      </c>
      <c r="J1" s="20" t="s">
        <v>65</v>
      </c>
      <c r="K1" s="20" t="s">
        <v>66</v>
      </c>
      <c r="L1" s="20" t="s">
        <v>67</v>
      </c>
      <c r="M1" s="20" t="s">
        <v>68</v>
      </c>
      <c r="N1" s="63" t="s">
        <v>69</v>
      </c>
      <c r="O1" s="61" t="s">
        <v>70</v>
      </c>
      <c r="P1" s="21" t="s">
        <v>71</v>
      </c>
    </row>
    <row r="2" spans="1:28">
      <c r="A2" s="186" t="s">
        <v>0</v>
      </c>
      <c r="B2" s="22" t="s">
        <v>73</v>
      </c>
      <c r="C2" s="23">
        <v>12</v>
      </c>
      <c r="D2" s="23">
        <v>9</v>
      </c>
      <c r="E2" s="23">
        <v>5</v>
      </c>
      <c r="F2" s="23">
        <v>6</v>
      </c>
      <c r="G2" s="23"/>
      <c r="H2" s="23"/>
      <c r="I2" s="23"/>
      <c r="J2" s="23"/>
      <c r="K2" s="23"/>
      <c r="L2" s="23"/>
      <c r="M2" s="23"/>
      <c r="N2" s="23"/>
      <c r="O2" s="24">
        <f>SUM(C2:N2)</f>
        <v>32</v>
      </c>
      <c r="P2" s="25">
        <f>IFERROR(AVERAGE(C2:N2),"")</f>
        <v>8</v>
      </c>
    </row>
    <row r="3" spans="1:28">
      <c r="A3" s="187"/>
      <c r="B3" s="26" t="s">
        <v>74</v>
      </c>
      <c r="C3">
        <v>11</v>
      </c>
      <c r="D3">
        <v>6</v>
      </c>
      <c r="E3">
        <v>14</v>
      </c>
      <c r="F3">
        <v>14</v>
      </c>
      <c r="O3" s="27">
        <f>SUM(C3:N3)</f>
        <v>45</v>
      </c>
      <c r="P3" s="28">
        <f>IFERROR(AVERAGE(C3:N3),"")</f>
        <v>11.25</v>
      </c>
    </row>
    <row r="4" spans="1:28" ht="17.5" thickBot="1">
      <c r="A4" s="192"/>
      <c r="B4" s="29" t="s">
        <v>19</v>
      </c>
      <c r="C4" s="30">
        <f>IFERROR(C3/C2,"")</f>
        <v>0.91666666666666663</v>
      </c>
      <c r="D4" s="30">
        <f t="shared" ref="D4:N4" si="0">IFERROR(D3/D2,"")</f>
        <v>0.66666666666666663</v>
      </c>
      <c r="E4" s="30">
        <f t="shared" si="0"/>
        <v>2.8</v>
      </c>
      <c r="F4" s="30">
        <f t="shared" si="0"/>
        <v>2.3333333333333335</v>
      </c>
      <c r="G4" s="30" t="str">
        <f t="shared" si="0"/>
        <v/>
      </c>
      <c r="H4" s="30" t="str">
        <f t="shared" si="0"/>
        <v/>
      </c>
      <c r="I4" s="30" t="str">
        <f t="shared" si="0"/>
        <v/>
      </c>
      <c r="J4" s="30" t="str">
        <f t="shared" si="0"/>
        <v/>
      </c>
      <c r="K4" s="30" t="str">
        <f t="shared" si="0"/>
        <v/>
      </c>
      <c r="L4" s="30" t="str">
        <f t="shared" si="0"/>
        <v/>
      </c>
      <c r="M4" s="30" t="str">
        <f t="shared" si="0"/>
        <v/>
      </c>
      <c r="N4" s="30" t="str">
        <f t="shared" si="0"/>
        <v/>
      </c>
      <c r="O4" s="31">
        <f>IFERROR(O3/O2,"")</f>
        <v>1.40625</v>
      </c>
      <c r="P4" s="31"/>
    </row>
    <row r="5" spans="1:28" ht="17.5" thickBot="1">
      <c r="A5" s="186" t="s">
        <v>1</v>
      </c>
      <c r="B5" s="22" t="s">
        <v>73</v>
      </c>
      <c r="C5" s="23">
        <v>101</v>
      </c>
      <c r="D5" s="23">
        <v>82</v>
      </c>
      <c r="E5" s="23">
        <v>77</v>
      </c>
      <c r="F5" s="23">
        <v>78</v>
      </c>
      <c r="G5" s="23"/>
      <c r="H5" s="23"/>
      <c r="I5" s="23"/>
      <c r="J5" s="23"/>
      <c r="K5" s="23"/>
      <c r="L5" s="23"/>
      <c r="M5" s="23"/>
      <c r="N5" s="23"/>
      <c r="O5" s="24">
        <f>SUM(C5:N5)</f>
        <v>338</v>
      </c>
      <c r="P5" s="25">
        <f>IFERROR(AVERAGE(C5:N5),"")</f>
        <v>84.5</v>
      </c>
      <c r="T5" s="105" t="s">
        <v>79</v>
      </c>
      <c r="U5" s="106" t="s">
        <v>0</v>
      </c>
      <c r="V5" s="106" t="s">
        <v>1</v>
      </c>
      <c r="W5" s="106" t="s">
        <v>2</v>
      </c>
      <c r="X5" s="106" t="s">
        <v>3</v>
      </c>
      <c r="Y5" s="106" t="s">
        <v>4</v>
      </c>
      <c r="Z5" s="106" t="s">
        <v>5</v>
      </c>
      <c r="AA5" s="106" t="s">
        <v>6</v>
      </c>
      <c r="AB5" s="107" t="s">
        <v>7</v>
      </c>
    </row>
    <row r="6" spans="1:28" ht="17.149999999999999" customHeight="1" thickBot="1">
      <c r="A6" s="187"/>
      <c r="B6" s="26" t="s">
        <v>74</v>
      </c>
      <c r="C6">
        <v>109</v>
      </c>
      <c r="D6">
        <v>77</v>
      </c>
      <c r="E6">
        <v>73</v>
      </c>
      <c r="F6">
        <v>74</v>
      </c>
      <c r="O6" s="27">
        <f>SUM(C6:N6)</f>
        <v>333</v>
      </c>
      <c r="P6" s="28">
        <f t="shared" ref="P6" si="1">IFERROR(AVERAGE(C6:N6),"")</f>
        <v>83.25</v>
      </c>
      <c r="T6" s="108" t="s">
        <v>80</v>
      </c>
      <c r="U6" s="109">
        <f>O4</f>
        <v>1.40625</v>
      </c>
      <c r="V6" s="109">
        <f>O7</f>
        <v>0.98520710059171601</v>
      </c>
      <c r="W6" s="109">
        <f>O10</f>
        <v>0.92817679558011046</v>
      </c>
      <c r="X6" s="109">
        <f>O13</f>
        <v>1.0030487804878048</v>
      </c>
      <c r="Y6" s="109">
        <f>O16</f>
        <v>0.95176848874598075</v>
      </c>
      <c r="Z6" s="109">
        <f>O19</f>
        <v>0.9441624365482234</v>
      </c>
      <c r="AA6" s="109">
        <f>O22</f>
        <v>1.0240963855421688</v>
      </c>
      <c r="AB6" s="110">
        <f>O25</f>
        <v>0.99210526315789471</v>
      </c>
    </row>
    <row r="7" spans="1:28">
      <c r="A7" s="192"/>
      <c r="B7" s="29" t="s">
        <v>19</v>
      </c>
      <c r="C7" s="30">
        <f>IFERROR(C6/C5,"")</f>
        <v>1.0792079207920793</v>
      </c>
      <c r="D7" s="30">
        <f t="shared" ref="D7:O7" si="2">IFERROR(D6/D5,"")</f>
        <v>0.93902439024390238</v>
      </c>
      <c r="E7" s="30">
        <f t="shared" si="2"/>
        <v>0.94805194805194803</v>
      </c>
      <c r="F7" s="30">
        <f t="shared" si="2"/>
        <v>0.94871794871794868</v>
      </c>
      <c r="G7" s="30" t="str">
        <f t="shared" si="2"/>
        <v/>
      </c>
      <c r="H7" s="30" t="str">
        <f t="shared" si="2"/>
        <v/>
      </c>
      <c r="I7" s="30" t="str">
        <f t="shared" si="2"/>
        <v/>
      </c>
      <c r="J7" s="30" t="str">
        <f t="shared" si="2"/>
        <v/>
      </c>
      <c r="K7" s="30" t="str">
        <f t="shared" si="2"/>
        <v/>
      </c>
      <c r="L7" s="30" t="str">
        <f t="shared" si="2"/>
        <v/>
      </c>
      <c r="M7" s="30" t="str">
        <f t="shared" si="2"/>
        <v/>
      </c>
      <c r="N7" s="30" t="str">
        <f t="shared" si="2"/>
        <v/>
      </c>
      <c r="O7" s="31">
        <f t="shared" si="2"/>
        <v>0.98520710059171601</v>
      </c>
      <c r="P7" s="31"/>
    </row>
    <row r="8" spans="1:28">
      <c r="A8" s="186" t="s">
        <v>2</v>
      </c>
      <c r="B8" s="22" t="s">
        <v>73</v>
      </c>
      <c r="C8" s="23">
        <v>87</v>
      </c>
      <c r="D8" s="23">
        <v>59</v>
      </c>
      <c r="E8" s="23">
        <v>91</v>
      </c>
      <c r="F8" s="23">
        <v>125</v>
      </c>
      <c r="L8" s="23"/>
      <c r="M8" s="23"/>
      <c r="N8" s="23"/>
      <c r="O8" s="24">
        <f>SUM(C8:N8)</f>
        <v>362</v>
      </c>
      <c r="P8" s="25">
        <f>IFERROR(AVERAGE(C8:N8),"")</f>
        <v>90.5</v>
      </c>
    </row>
    <row r="9" spans="1:28">
      <c r="A9" s="187"/>
      <c r="B9" s="26" t="s">
        <v>74</v>
      </c>
      <c r="C9">
        <v>66</v>
      </c>
      <c r="D9">
        <v>61</v>
      </c>
      <c r="E9">
        <v>96</v>
      </c>
      <c r="F9">
        <v>113</v>
      </c>
      <c r="O9" s="27">
        <f>SUM(C9:N9)</f>
        <v>336</v>
      </c>
      <c r="P9" s="28">
        <f t="shared" ref="P9" si="3">IFERROR(AVERAGE(C9:N9),"")</f>
        <v>84</v>
      </c>
    </row>
    <row r="10" spans="1:28">
      <c r="A10" s="192"/>
      <c r="B10" s="29" t="s">
        <v>19</v>
      </c>
      <c r="C10" s="30">
        <f>IFERROR(C9/C8,"")</f>
        <v>0.75862068965517238</v>
      </c>
      <c r="D10" s="30">
        <f t="shared" ref="D10:O10" si="4">IFERROR(D9/D8,"")</f>
        <v>1.0338983050847457</v>
      </c>
      <c r="E10" s="30">
        <f t="shared" si="4"/>
        <v>1.054945054945055</v>
      </c>
      <c r="F10" s="30">
        <f t="shared" si="4"/>
        <v>0.90400000000000003</v>
      </c>
      <c r="G10" s="30" t="str">
        <f t="shared" si="4"/>
        <v/>
      </c>
      <c r="H10" s="30" t="str">
        <f t="shared" si="4"/>
        <v/>
      </c>
      <c r="I10" s="30" t="str">
        <f t="shared" si="4"/>
        <v/>
      </c>
      <c r="J10" s="30" t="str">
        <f t="shared" si="4"/>
        <v/>
      </c>
      <c r="K10" s="30" t="str">
        <f t="shared" si="4"/>
        <v/>
      </c>
      <c r="L10" s="30" t="str">
        <f t="shared" si="4"/>
        <v/>
      </c>
      <c r="M10" s="30" t="str">
        <f t="shared" si="4"/>
        <v/>
      </c>
      <c r="N10" s="30" t="str">
        <f t="shared" si="4"/>
        <v/>
      </c>
      <c r="O10" s="31">
        <f t="shared" si="4"/>
        <v>0.92817679558011046</v>
      </c>
      <c r="P10" s="31"/>
    </row>
    <row r="11" spans="1:28">
      <c r="A11" s="186" t="s">
        <v>3</v>
      </c>
      <c r="B11" s="22" t="s">
        <v>73</v>
      </c>
      <c r="C11" s="23">
        <v>122</v>
      </c>
      <c r="D11" s="23">
        <v>64</v>
      </c>
      <c r="E11" s="23">
        <v>86</v>
      </c>
      <c r="F11" s="23">
        <v>56</v>
      </c>
      <c r="G11" s="23"/>
      <c r="H11" s="23"/>
      <c r="I11" s="23"/>
      <c r="J11" s="23"/>
      <c r="K11" s="23"/>
      <c r="L11" s="23"/>
      <c r="M11" s="23"/>
      <c r="N11" s="23"/>
      <c r="O11" s="24">
        <f>SUM(C11:N11)</f>
        <v>328</v>
      </c>
      <c r="P11" s="25">
        <f>IFERROR(AVERAGE(C11:N11),"")</f>
        <v>82</v>
      </c>
    </row>
    <row r="12" spans="1:28">
      <c r="A12" s="187"/>
      <c r="B12" s="26" t="s">
        <v>74</v>
      </c>
      <c r="C12">
        <v>117</v>
      </c>
      <c r="D12">
        <v>66</v>
      </c>
      <c r="E12">
        <v>82</v>
      </c>
      <c r="F12">
        <v>64</v>
      </c>
      <c r="O12" s="27">
        <f>SUM(C12:N12)</f>
        <v>329</v>
      </c>
      <c r="P12" s="28">
        <f t="shared" ref="P12" si="5">IFERROR(AVERAGE(C12:N12),"")</f>
        <v>82.25</v>
      </c>
    </row>
    <row r="13" spans="1:28">
      <c r="A13" s="192"/>
      <c r="B13" s="29" t="s">
        <v>19</v>
      </c>
      <c r="C13" s="30">
        <f>IFERROR(C12/C11,"")</f>
        <v>0.95901639344262291</v>
      </c>
      <c r="D13" s="30">
        <f t="shared" ref="D13:O13" si="6">IFERROR(D12/D11,"")</f>
        <v>1.03125</v>
      </c>
      <c r="E13" s="30">
        <f t="shared" si="6"/>
        <v>0.95348837209302328</v>
      </c>
      <c r="F13" s="30">
        <f t="shared" si="6"/>
        <v>1.1428571428571428</v>
      </c>
      <c r="G13" s="30" t="str">
        <f t="shared" si="6"/>
        <v/>
      </c>
      <c r="H13" s="30" t="str">
        <f t="shared" si="6"/>
        <v/>
      </c>
      <c r="I13" s="30" t="str">
        <f t="shared" si="6"/>
        <v/>
      </c>
      <c r="J13" s="30" t="str">
        <f t="shared" si="6"/>
        <v/>
      </c>
      <c r="K13" s="30" t="str">
        <f t="shared" si="6"/>
        <v/>
      </c>
      <c r="L13" s="30" t="str">
        <f t="shared" si="6"/>
        <v/>
      </c>
      <c r="M13" s="30" t="str">
        <f t="shared" si="6"/>
        <v/>
      </c>
      <c r="N13" s="30" t="str">
        <f t="shared" si="6"/>
        <v/>
      </c>
      <c r="O13" s="31">
        <f t="shared" si="6"/>
        <v>1.0030487804878048</v>
      </c>
      <c r="P13" s="31"/>
    </row>
    <row r="14" spans="1:28">
      <c r="A14" s="186" t="s">
        <v>4</v>
      </c>
      <c r="B14" s="22" t="s">
        <v>73</v>
      </c>
      <c r="C14" s="23">
        <v>49</v>
      </c>
      <c r="D14" s="23">
        <v>55</v>
      </c>
      <c r="E14" s="23">
        <v>57</v>
      </c>
      <c r="F14">
        <v>150</v>
      </c>
      <c r="G14" s="23"/>
      <c r="H14" s="23"/>
      <c r="I14" s="23"/>
      <c r="J14" s="23"/>
      <c r="K14" s="23"/>
      <c r="L14" s="23"/>
      <c r="M14" s="23"/>
      <c r="N14" s="23"/>
      <c r="O14" s="24">
        <f>SUM(C14:N14)</f>
        <v>311</v>
      </c>
      <c r="P14" s="25">
        <f>IFERROR(AVERAGE(C14:N14),"")</f>
        <v>77.75</v>
      </c>
    </row>
    <row r="15" spans="1:28">
      <c r="A15" s="187"/>
      <c r="B15" s="26" t="s">
        <v>74</v>
      </c>
      <c r="C15">
        <v>48</v>
      </c>
      <c r="D15">
        <v>50</v>
      </c>
      <c r="E15">
        <v>57</v>
      </c>
      <c r="F15">
        <v>141</v>
      </c>
      <c r="O15" s="27">
        <f>SUM(C15:N15)</f>
        <v>296</v>
      </c>
      <c r="P15" s="28">
        <f t="shared" ref="P15" si="7">IFERROR(AVERAGE(C15:N15),"")</f>
        <v>74</v>
      </c>
    </row>
    <row r="16" spans="1:28">
      <c r="A16" s="192"/>
      <c r="B16" s="29" t="s">
        <v>19</v>
      </c>
      <c r="C16" s="30">
        <f>IFERROR(C15/C14,"")</f>
        <v>0.97959183673469385</v>
      </c>
      <c r="D16" s="30">
        <f t="shared" ref="D16:O16" si="8">IFERROR(D15/D14,"")</f>
        <v>0.90909090909090906</v>
      </c>
      <c r="E16" s="30">
        <f t="shared" si="8"/>
        <v>1</v>
      </c>
      <c r="F16" s="30">
        <f t="shared" si="8"/>
        <v>0.94</v>
      </c>
      <c r="G16" s="30" t="str">
        <f t="shared" si="8"/>
        <v/>
      </c>
      <c r="H16" s="30" t="str">
        <f t="shared" si="8"/>
        <v/>
      </c>
      <c r="I16" s="30" t="str">
        <f t="shared" si="8"/>
        <v/>
      </c>
      <c r="J16" s="30" t="str">
        <f t="shared" si="8"/>
        <v/>
      </c>
      <c r="K16" s="30" t="str">
        <f t="shared" si="8"/>
        <v/>
      </c>
      <c r="L16" s="30" t="str">
        <f t="shared" si="8"/>
        <v/>
      </c>
      <c r="M16" s="30" t="str">
        <f t="shared" si="8"/>
        <v/>
      </c>
      <c r="N16" s="30" t="str">
        <f t="shared" si="8"/>
        <v/>
      </c>
      <c r="O16" s="31">
        <f t="shared" si="8"/>
        <v>0.95176848874598075</v>
      </c>
      <c r="P16" s="31"/>
    </row>
    <row r="17" spans="1:16">
      <c r="A17" s="186" t="s">
        <v>5</v>
      </c>
      <c r="B17" s="22" t="s">
        <v>73</v>
      </c>
      <c r="C17" s="23">
        <v>49</v>
      </c>
      <c r="D17" s="23">
        <v>51</v>
      </c>
      <c r="E17" s="23">
        <v>47</v>
      </c>
      <c r="F17">
        <v>50</v>
      </c>
      <c r="G17" s="23"/>
      <c r="H17" s="23"/>
      <c r="I17" s="23"/>
      <c r="J17" s="23"/>
      <c r="K17" s="23"/>
      <c r="L17" s="23"/>
      <c r="M17" s="23"/>
      <c r="N17" s="23"/>
      <c r="O17" s="24">
        <f>SUM(C17:N17)</f>
        <v>197</v>
      </c>
      <c r="P17" s="25">
        <f>IFERROR(AVERAGE(C17:N17),"")</f>
        <v>49.25</v>
      </c>
    </row>
    <row r="18" spans="1:16">
      <c r="A18" s="187"/>
      <c r="B18" s="26" t="s">
        <v>74</v>
      </c>
      <c r="C18">
        <v>49</v>
      </c>
      <c r="D18">
        <v>49</v>
      </c>
      <c r="E18">
        <v>41</v>
      </c>
      <c r="F18">
        <v>47</v>
      </c>
      <c r="O18" s="27">
        <f>SUM(C18:N18)</f>
        <v>186</v>
      </c>
      <c r="P18" s="28">
        <f t="shared" ref="P18" si="9">IFERROR(AVERAGE(C18:N18),"")</f>
        <v>46.5</v>
      </c>
    </row>
    <row r="19" spans="1:16">
      <c r="A19" s="192"/>
      <c r="B19" s="29" t="s">
        <v>19</v>
      </c>
      <c r="C19" s="30">
        <f>IFERROR(C18/C17,"")</f>
        <v>1</v>
      </c>
      <c r="D19" s="30">
        <f t="shared" ref="D19:O19" si="10">IFERROR(D18/D17,"")</f>
        <v>0.96078431372549022</v>
      </c>
      <c r="E19" s="30">
        <f t="shared" si="10"/>
        <v>0.87234042553191493</v>
      </c>
      <c r="F19" s="30">
        <f t="shared" si="10"/>
        <v>0.94</v>
      </c>
      <c r="G19" s="30" t="str">
        <f t="shared" si="10"/>
        <v/>
      </c>
      <c r="H19" s="30" t="str">
        <f t="shared" si="10"/>
        <v/>
      </c>
      <c r="I19" s="30" t="str">
        <f t="shared" si="10"/>
        <v/>
      </c>
      <c r="J19" s="30" t="str">
        <f t="shared" si="10"/>
        <v/>
      </c>
      <c r="K19" s="30" t="str">
        <f t="shared" si="10"/>
        <v/>
      </c>
      <c r="L19" s="30" t="str">
        <f>IFERROR(L18/L17,"")</f>
        <v/>
      </c>
      <c r="M19" s="30" t="str">
        <f t="shared" si="10"/>
        <v/>
      </c>
      <c r="N19" s="30" t="str">
        <f t="shared" si="10"/>
        <v/>
      </c>
      <c r="O19" s="31">
        <f t="shared" si="10"/>
        <v>0.9441624365482234</v>
      </c>
      <c r="P19" s="31"/>
    </row>
    <row r="20" spans="1:16">
      <c r="A20" s="186" t="s">
        <v>6</v>
      </c>
      <c r="B20" s="22" t="s">
        <v>73</v>
      </c>
      <c r="C20" s="23">
        <v>20</v>
      </c>
      <c r="D20" s="23">
        <v>13</v>
      </c>
      <c r="E20" s="23">
        <v>26</v>
      </c>
      <c r="F20">
        <v>24</v>
      </c>
      <c r="G20" s="23"/>
      <c r="H20" s="23"/>
      <c r="I20" s="23"/>
      <c r="J20" s="23"/>
      <c r="K20" s="23"/>
      <c r="L20" s="23"/>
      <c r="M20" s="23"/>
      <c r="N20" s="23"/>
      <c r="O20" s="24">
        <f>SUM(C20:N20)</f>
        <v>83</v>
      </c>
      <c r="P20" s="25">
        <f t="shared" ref="P20:P21" si="11">IFERROR(AVERAGE(C20:N20),"")</f>
        <v>20.75</v>
      </c>
    </row>
    <row r="21" spans="1:16">
      <c r="A21" s="187"/>
      <c r="B21" s="26" t="s">
        <v>74</v>
      </c>
      <c r="C21">
        <v>23</v>
      </c>
      <c r="D21">
        <v>13</v>
      </c>
      <c r="E21">
        <v>25</v>
      </c>
      <c r="F21">
        <v>24</v>
      </c>
      <c r="O21" s="27">
        <f>SUM(C21:N21)</f>
        <v>85</v>
      </c>
      <c r="P21" s="28">
        <f t="shared" si="11"/>
        <v>21.25</v>
      </c>
    </row>
    <row r="22" spans="1:16">
      <c r="A22" s="192"/>
      <c r="B22" s="29" t="s">
        <v>19</v>
      </c>
      <c r="C22" s="30">
        <f>IFERROR(C21/C20,"")</f>
        <v>1.1499999999999999</v>
      </c>
      <c r="D22" s="30">
        <f t="shared" ref="D22:O22" si="12">IFERROR(D21/D20,"")</f>
        <v>1</v>
      </c>
      <c r="E22" s="30">
        <f t="shared" si="12"/>
        <v>0.96153846153846156</v>
      </c>
      <c r="F22" s="30">
        <f t="shared" si="12"/>
        <v>1</v>
      </c>
      <c r="G22" s="30" t="str">
        <f t="shared" si="12"/>
        <v/>
      </c>
      <c r="H22" s="30" t="str">
        <f t="shared" si="12"/>
        <v/>
      </c>
      <c r="I22" s="30" t="str">
        <f t="shared" si="12"/>
        <v/>
      </c>
      <c r="J22" s="30" t="str">
        <f t="shared" si="12"/>
        <v/>
      </c>
      <c r="K22" s="30" t="str">
        <f t="shared" si="12"/>
        <v/>
      </c>
      <c r="L22" s="30" t="str">
        <f>IFERROR(L21/L20,"")</f>
        <v/>
      </c>
      <c r="M22" s="30" t="str">
        <f t="shared" si="12"/>
        <v/>
      </c>
      <c r="N22" s="30" t="str">
        <f t="shared" si="12"/>
        <v/>
      </c>
      <c r="O22" s="31">
        <f t="shared" si="12"/>
        <v>1.0240963855421688</v>
      </c>
      <c r="P22" s="31"/>
    </row>
    <row r="23" spans="1:16">
      <c r="A23" s="186" t="s">
        <v>7</v>
      </c>
      <c r="B23" s="22" t="s">
        <v>73</v>
      </c>
      <c r="C23" s="23">
        <v>89</v>
      </c>
      <c r="D23" s="23">
        <v>80</v>
      </c>
      <c r="E23" s="23">
        <v>106</v>
      </c>
      <c r="F23">
        <v>105</v>
      </c>
      <c r="G23" s="23"/>
      <c r="H23" s="23"/>
      <c r="I23" s="23"/>
      <c r="J23" s="23"/>
      <c r="K23" s="23"/>
      <c r="L23" s="23"/>
      <c r="M23" s="23"/>
      <c r="N23" s="23"/>
      <c r="O23" s="24">
        <f>SUM(C23:N23)</f>
        <v>380</v>
      </c>
      <c r="P23" s="25">
        <f>IFERROR(AVERAGE(C23:N23),"")</f>
        <v>95</v>
      </c>
    </row>
    <row r="24" spans="1:16">
      <c r="A24" s="187"/>
      <c r="B24" s="26" t="s">
        <v>74</v>
      </c>
      <c r="C24">
        <v>79</v>
      </c>
      <c r="D24">
        <v>84</v>
      </c>
      <c r="E24">
        <v>101</v>
      </c>
      <c r="F24">
        <v>113</v>
      </c>
      <c r="O24" s="27">
        <f>SUM(C24:N24)</f>
        <v>377</v>
      </c>
      <c r="P24" s="28">
        <f t="shared" ref="P24" si="13">IFERROR(AVERAGE(C24:N24),"")</f>
        <v>94.25</v>
      </c>
    </row>
    <row r="25" spans="1:16">
      <c r="A25" s="192"/>
      <c r="B25" s="29" t="s">
        <v>19</v>
      </c>
      <c r="C25" s="30">
        <f>IFERROR(C24/C23,"")</f>
        <v>0.88764044943820219</v>
      </c>
      <c r="D25" s="30">
        <f t="shared" ref="D25:O25" si="14">IFERROR(D24/D23,"")</f>
        <v>1.05</v>
      </c>
      <c r="E25" s="30">
        <f t="shared" si="14"/>
        <v>0.95283018867924529</v>
      </c>
      <c r="F25" s="30">
        <f t="shared" si="14"/>
        <v>1.0761904761904761</v>
      </c>
      <c r="G25" s="30" t="str">
        <f t="shared" si="14"/>
        <v/>
      </c>
      <c r="H25" s="30" t="str">
        <f t="shared" si="14"/>
        <v/>
      </c>
      <c r="I25" s="30" t="str">
        <f t="shared" si="14"/>
        <v/>
      </c>
      <c r="J25" s="30" t="str">
        <f t="shared" si="14"/>
        <v/>
      </c>
      <c r="K25" s="30" t="str">
        <f t="shared" si="14"/>
        <v/>
      </c>
      <c r="L25" s="30" t="str">
        <f t="shared" si="14"/>
        <v/>
      </c>
      <c r="M25" s="30" t="str">
        <f t="shared" si="14"/>
        <v/>
      </c>
      <c r="N25" s="30" t="str">
        <f t="shared" si="14"/>
        <v/>
      </c>
      <c r="O25" s="31">
        <f t="shared" si="14"/>
        <v>0.99210526315789471</v>
      </c>
      <c r="P25" s="31"/>
    </row>
    <row r="26" spans="1:16">
      <c r="A26" s="186" t="s">
        <v>8</v>
      </c>
      <c r="B26" s="22" t="s">
        <v>73</v>
      </c>
      <c r="C26" s="23">
        <v>105</v>
      </c>
      <c r="D26" s="23">
        <v>85</v>
      </c>
      <c r="E26" s="23">
        <v>94</v>
      </c>
      <c r="F26">
        <v>78</v>
      </c>
      <c r="G26" s="23"/>
      <c r="H26" s="23"/>
      <c r="I26" s="23"/>
      <c r="J26" s="23"/>
      <c r="K26" s="23"/>
      <c r="L26" s="23"/>
      <c r="M26" s="23"/>
      <c r="N26" s="23"/>
      <c r="O26" s="24">
        <f>SUM(C26:N26)</f>
        <v>362</v>
      </c>
      <c r="P26" s="25">
        <f>IFERROR(AVERAGE(C26:N26),"")</f>
        <v>90.5</v>
      </c>
    </row>
    <row r="27" spans="1:16">
      <c r="A27" s="187"/>
      <c r="B27" s="26" t="s">
        <v>74</v>
      </c>
      <c r="C27">
        <v>64</v>
      </c>
      <c r="D27">
        <v>48</v>
      </c>
      <c r="E27">
        <v>49</v>
      </c>
      <c r="F27">
        <v>23</v>
      </c>
      <c r="O27" s="27">
        <f>SUM(C27:N27)</f>
        <v>184</v>
      </c>
      <c r="P27" s="28">
        <f t="shared" ref="P27" si="15">IFERROR(AVERAGE(C27:N27),"")</f>
        <v>46</v>
      </c>
    </row>
    <row r="28" spans="1:16">
      <c r="A28" s="192"/>
      <c r="B28" s="29" t="s">
        <v>19</v>
      </c>
      <c r="C28" s="30">
        <f>IFERROR(C27/C26,"")</f>
        <v>0.60952380952380958</v>
      </c>
      <c r="D28" s="30">
        <f t="shared" ref="D28:M28" si="16">IFERROR(D27/D26,"")</f>
        <v>0.56470588235294117</v>
      </c>
      <c r="E28" s="30">
        <f t="shared" si="16"/>
        <v>0.52127659574468088</v>
      </c>
      <c r="F28" s="30">
        <f t="shared" si="16"/>
        <v>0.29487179487179488</v>
      </c>
      <c r="G28" s="30" t="str">
        <f t="shared" si="16"/>
        <v/>
      </c>
      <c r="H28" s="30" t="str">
        <f t="shared" si="16"/>
        <v/>
      </c>
      <c r="I28" s="30" t="str">
        <f t="shared" si="16"/>
        <v/>
      </c>
      <c r="J28" s="30" t="str">
        <f t="shared" si="16"/>
        <v/>
      </c>
      <c r="K28" s="30" t="str">
        <f t="shared" si="16"/>
        <v/>
      </c>
      <c r="L28" s="30" t="str">
        <f t="shared" si="16"/>
        <v/>
      </c>
      <c r="M28" s="30" t="str">
        <f t="shared" si="16"/>
        <v/>
      </c>
      <c r="N28" s="30" t="str">
        <f>IFERROR(N27/N26,"")</f>
        <v/>
      </c>
      <c r="O28" s="31">
        <f>IFERROR(O27/O26,"")</f>
        <v>0.50828729281767959</v>
      </c>
      <c r="P28" s="31"/>
    </row>
    <row r="30" spans="1:16">
      <c r="B30" s="32" t="s">
        <v>89</v>
      </c>
    </row>
    <row r="32" spans="1:16">
      <c r="C32" t="s">
        <v>81</v>
      </c>
      <c r="D32">
        <v>61</v>
      </c>
      <c r="E32" s="4">
        <f>D32/O2</f>
        <v>1.90625</v>
      </c>
      <c r="F32" s="111">
        <v>0.30348258706467662</v>
      </c>
      <c r="H32" s="111"/>
      <c r="I32" s="111"/>
      <c r="J32" s="111"/>
      <c r="K32" s="111"/>
      <c r="L32" s="111"/>
      <c r="M32" s="111"/>
      <c r="N32" s="111"/>
      <c r="O32" s="111"/>
    </row>
    <row r="33" spans="3:6">
      <c r="C33" t="s">
        <v>82</v>
      </c>
      <c r="D33">
        <v>161</v>
      </c>
      <c r="E33" s="4">
        <f>D33/O5</f>
        <v>0.47633136094674555</v>
      </c>
      <c r="F33" s="111">
        <v>0.21045751633986928</v>
      </c>
    </row>
    <row r="34" spans="3:6">
      <c r="C34" t="s">
        <v>83</v>
      </c>
      <c r="D34">
        <v>167</v>
      </c>
      <c r="E34" s="4">
        <f>D34/O8</f>
        <v>0.46132596685082872</v>
      </c>
      <c r="F34" s="111">
        <v>0.20771144278606965</v>
      </c>
    </row>
    <row r="35" spans="3:6">
      <c r="C35" t="s">
        <v>84</v>
      </c>
      <c r="D35">
        <v>188</v>
      </c>
      <c r="E35" s="4">
        <f>D35/O11</f>
        <v>0.57317073170731703</v>
      </c>
      <c r="F35" s="111">
        <v>0.15798319327731092</v>
      </c>
    </row>
    <row r="36" spans="3:6">
      <c r="C36" t="s">
        <v>85</v>
      </c>
      <c r="D36">
        <v>97</v>
      </c>
      <c r="E36" s="4">
        <f>D36/O14</f>
        <v>0.31189710610932475</v>
      </c>
      <c r="F36" s="111">
        <v>0.12613784135240572</v>
      </c>
    </row>
    <row r="37" spans="3:6">
      <c r="C37" t="s">
        <v>86</v>
      </c>
      <c r="D37">
        <v>126</v>
      </c>
      <c r="E37" s="4">
        <f>D37/O17</f>
        <v>0.63959390862944165</v>
      </c>
      <c r="F37" s="111">
        <v>0.14416475972540047</v>
      </c>
    </row>
    <row r="38" spans="3:6">
      <c r="C38" t="s">
        <v>87</v>
      </c>
      <c r="D38">
        <v>16</v>
      </c>
      <c r="E38" s="4">
        <f>D38/O20</f>
        <v>0.19277108433734941</v>
      </c>
      <c r="F38" s="111">
        <v>6.1302681992337162E-2</v>
      </c>
    </row>
    <row r="39" spans="3:6">
      <c r="C39" t="s">
        <v>88</v>
      </c>
      <c r="D39">
        <v>159</v>
      </c>
      <c r="E39" s="4">
        <f>D39/O23</f>
        <v>0.41842105263157897</v>
      </c>
      <c r="F39" s="111">
        <v>0.1780515117581187</v>
      </c>
    </row>
  </sheetData>
  <mergeCells count="10">
    <mergeCell ref="A26:A28"/>
    <mergeCell ref="A17:A19"/>
    <mergeCell ref="A20:A22"/>
    <mergeCell ref="A23:A25"/>
    <mergeCell ref="A1:B1"/>
    <mergeCell ref="A2:A4"/>
    <mergeCell ref="A5:A7"/>
    <mergeCell ref="A8:A10"/>
    <mergeCell ref="A11:A13"/>
    <mergeCell ref="A14:A16"/>
  </mergeCells>
  <phoneticPr fontId="2" type="noConversion"/>
  <conditionalFormatting sqref="C4:P4 C7:P7 C10:P10 C13:P13 C16:P16 C19:P19 C22:P22 C25:P25 C28:P28">
    <cfRule type="cellIs" dxfId="4" priority="1" operator="greaterThan">
      <formula>0.9</formula>
    </cfRule>
    <cfRule type="cellIs" dxfId="3" priority="2" operator="lessThan">
      <formula>0.7</formula>
    </cfRule>
  </conditionalFormatting>
  <pageMargins left="0.7" right="0.7" top="0.75" bottom="0.75" header="0.3" footer="0.3"/>
  <pageSetup paperSize="9" orientation="portrait" r:id="rId1"/>
  <ignoredErrors>
    <ignoredError sqref="O1 O29:O30 O3 O36:O1048576 O5:O25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FC4F2-1672-47E4-8724-B3B3D99BA3A8}">
  <dimension ref="A1:J17"/>
  <sheetViews>
    <sheetView zoomScale="90" zoomScaleNormal="90" workbookViewId="0">
      <selection activeCell="K25" sqref="K25"/>
    </sheetView>
  </sheetViews>
  <sheetFormatPr defaultColWidth="8.7265625" defaultRowHeight="15.5"/>
  <cols>
    <col min="1" max="1" width="16" style="96" customWidth="1"/>
    <col min="2" max="10" width="7.26953125" style="94" customWidth="1"/>
    <col min="11" max="16384" width="8.7265625" style="94"/>
  </cols>
  <sheetData>
    <row r="1" spans="1:10" ht="51" customHeight="1" thickBot="1">
      <c r="A1" s="132" t="s">
        <v>90</v>
      </c>
      <c r="B1" s="133" t="s">
        <v>0</v>
      </c>
      <c r="C1" s="133" t="s">
        <v>1</v>
      </c>
      <c r="D1" s="133" t="s">
        <v>2</v>
      </c>
      <c r="E1" s="133" t="s">
        <v>3</v>
      </c>
      <c r="F1" s="133" t="s">
        <v>4</v>
      </c>
      <c r="G1" s="133" t="s">
        <v>5</v>
      </c>
      <c r="H1" s="133" t="s">
        <v>6</v>
      </c>
      <c r="I1" s="133" t="s">
        <v>7</v>
      </c>
      <c r="J1" s="133" t="s">
        <v>8</v>
      </c>
    </row>
    <row r="2" spans="1:10">
      <c r="A2" s="134" t="s">
        <v>58</v>
      </c>
      <c r="B2" s="97">
        <f>Jan!C4</f>
        <v>0</v>
      </c>
      <c r="C2" s="97">
        <f>Jan!D4</f>
        <v>0</v>
      </c>
      <c r="D2" s="97">
        <f>Jan!E4</f>
        <v>0</v>
      </c>
      <c r="E2" s="97">
        <f>Jan!F4</f>
        <v>0</v>
      </c>
      <c r="F2" s="97">
        <f>Jan!G4</f>
        <v>0</v>
      </c>
      <c r="G2" s="97">
        <f>Jan!H4</f>
        <v>0</v>
      </c>
      <c r="H2" s="97">
        <f>Jan!I4</f>
        <v>0</v>
      </c>
      <c r="I2" s="97">
        <f>Jan!J4</f>
        <v>0</v>
      </c>
      <c r="J2" s="135">
        <f>Jan!K4</f>
        <v>0</v>
      </c>
    </row>
    <row r="3" spans="1:10">
      <c r="A3" s="136" t="s">
        <v>59</v>
      </c>
      <c r="B3" s="95">
        <f>Feb!C4</f>
        <v>0</v>
      </c>
      <c r="C3" s="95">
        <f>Feb!D4</f>
        <v>0</v>
      </c>
      <c r="D3" s="95">
        <f>Feb!E4</f>
        <v>0</v>
      </c>
      <c r="E3" s="95">
        <f>Feb!F4</f>
        <v>0</v>
      </c>
      <c r="F3" s="95">
        <f>Feb!G4</f>
        <v>0</v>
      </c>
      <c r="G3" s="95">
        <f>Feb!H4</f>
        <v>0</v>
      </c>
      <c r="H3" s="95">
        <f>Feb!I4</f>
        <v>0</v>
      </c>
      <c r="I3" s="95">
        <f>Feb!J4</f>
        <v>0</v>
      </c>
      <c r="J3" s="137">
        <f>Feb!K4</f>
        <v>0</v>
      </c>
    </row>
    <row r="4" spans="1:10">
      <c r="A4" s="136" t="s">
        <v>60</v>
      </c>
      <c r="B4" s="95">
        <f>Mar!C4</f>
        <v>0</v>
      </c>
      <c r="C4" s="95">
        <f>Mar!D4</f>
        <v>0</v>
      </c>
      <c r="D4" s="95">
        <f>Mar!E4</f>
        <v>0</v>
      </c>
      <c r="E4" s="95">
        <f>Mar!F4</f>
        <v>0</v>
      </c>
      <c r="F4" s="95">
        <f>Mar!G4</f>
        <v>0</v>
      </c>
      <c r="G4" s="95">
        <f>Mar!H4</f>
        <v>0</v>
      </c>
      <c r="H4" s="95">
        <f>Mar!I4</f>
        <v>0</v>
      </c>
      <c r="I4" s="95">
        <f>Mar!J4</f>
        <v>0</v>
      </c>
      <c r="J4" s="137">
        <f>Mar!K4</f>
        <v>0</v>
      </c>
    </row>
    <row r="5" spans="1:10">
      <c r="A5" s="136" t="s">
        <v>61</v>
      </c>
      <c r="B5" s="95">
        <f>Apr!C4</f>
        <v>9</v>
      </c>
      <c r="C5" s="95">
        <f>Apr!D4</f>
        <v>5</v>
      </c>
      <c r="D5" s="95">
        <f>Apr!E4</f>
        <v>26</v>
      </c>
      <c r="E5" s="95">
        <f>Apr!F4</f>
        <v>4</v>
      </c>
      <c r="F5" s="95">
        <f>Apr!G4</f>
        <v>6</v>
      </c>
      <c r="G5" s="95">
        <f>Apr!H4</f>
        <v>5</v>
      </c>
      <c r="H5" s="95">
        <f>Apr!I4</f>
        <v>5</v>
      </c>
      <c r="I5" s="95">
        <f>Apr!J4</f>
        <v>0</v>
      </c>
      <c r="J5" s="137">
        <f>Apr!K4</f>
        <v>3</v>
      </c>
    </row>
    <row r="6" spans="1:10">
      <c r="A6" s="136" t="s">
        <v>62</v>
      </c>
      <c r="B6" s="95">
        <f>May!C4</f>
        <v>0</v>
      </c>
      <c r="C6" s="95">
        <f>May!D4</f>
        <v>0</v>
      </c>
      <c r="D6" s="95">
        <f>May!E4</f>
        <v>0</v>
      </c>
      <c r="E6" s="95">
        <f>May!F4</f>
        <v>0</v>
      </c>
      <c r="F6" s="95">
        <f>May!G4</f>
        <v>0</v>
      </c>
      <c r="G6" s="95">
        <f>May!H4</f>
        <v>0</v>
      </c>
      <c r="H6" s="95">
        <f>May!I4</f>
        <v>0</v>
      </c>
      <c r="I6" s="95">
        <f>May!J4</f>
        <v>0</v>
      </c>
      <c r="J6" s="137">
        <f>May!K4</f>
        <v>0</v>
      </c>
    </row>
    <row r="7" spans="1:10">
      <c r="A7" s="136" t="s">
        <v>63</v>
      </c>
      <c r="B7" s="95">
        <f>Jun!C4</f>
        <v>0</v>
      </c>
      <c r="C7" s="95">
        <f>Jun!D4</f>
        <v>0</v>
      </c>
      <c r="D7" s="95">
        <f>Jun!E4</f>
        <v>0</v>
      </c>
      <c r="E7" s="95">
        <f>Jun!F4</f>
        <v>0</v>
      </c>
      <c r="F7" s="95">
        <f>Jun!G4</f>
        <v>0</v>
      </c>
      <c r="G7" s="95">
        <f>Jun!H4</f>
        <v>0</v>
      </c>
      <c r="H7" s="95">
        <f>Jun!I4</f>
        <v>0</v>
      </c>
      <c r="I7" s="95">
        <f>Jun!J4</f>
        <v>0</v>
      </c>
      <c r="J7" s="137">
        <f>Jun!K4</f>
        <v>0</v>
      </c>
    </row>
    <row r="8" spans="1:10">
      <c r="A8" s="136" t="s">
        <v>64</v>
      </c>
      <c r="B8" s="95">
        <f>Jul!C4</f>
        <v>0</v>
      </c>
      <c r="C8" s="95">
        <f>Jul!D4</f>
        <v>0</v>
      </c>
      <c r="D8" s="95">
        <f>Jul!E4</f>
        <v>0</v>
      </c>
      <c r="E8" s="95">
        <f>Jul!F4</f>
        <v>0</v>
      </c>
      <c r="F8" s="95">
        <f>Jul!G4</f>
        <v>0</v>
      </c>
      <c r="G8" s="95">
        <f>Jul!H4</f>
        <v>0</v>
      </c>
      <c r="H8" s="95">
        <f>Jul!I4</f>
        <v>0</v>
      </c>
      <c r="I8" s="95">
        <f>Jul!J4</f>
        <v>0</v>
      </c>
      <c r="J8" s="137">
        <f>Jul!K4</f>
        <v>0</v>
      </c>
    </row>
    <row r="9" spans="1:10">
      <c r="A9" s="136" t="s">
        <v>65</v>
      </c>
      <c r="B9" s="95">
        <f>Aug!C4</f>
        <v>0</v>
      </c>
      <c r="C9" s="95">
        <f>Aug!D4</f>
        <v>0</v>
      </c>
      <c r="D9" s="95">
        <f>Aug!E4</f>
        <v>0</v>
      </c>
      <c r="E9" s="95">
        <f>Aug!F4</f>
        <v>0</v>
      </c>
      <c r="F9" s="95">
        <f>Aug!G4</f>
        <v>0</v>
      </c>
      <c r="G9" s="95">
        <f>Aug!H4</f>
        <v>0</v>
      </c>
      <c r="H9" s="95">
        <f>Aug!I4</f>
        <v>0</v>
      </c>
      <c r="I9" s="95">
        <f>Aug!J4</f>
        <v>0</v>
      </c>
      <c r="J9" s="137">
        <f>Aug!K4</f>
        <v>0</v>
      </c>
    </row>
    <row r="10" spans="1:10">
      <c r="A10" s="136" t="s">
        <v>66</v>
      </c>
      <c r="B10" s="95">
        <f>Sep!C4</f>
        <v>0</v>
      </c>
      <c r="C10" s="95">
        <f>Sep!D4</f>
        <v>0</v>
      </c>
      <c r="D10" s="95">
        <f>Sep!E4</f>
        <v>0</v>
      </c>
      <c r="E10" s="95">
        <f>Sep!F4</f>
        <v>0</v>
      </c>
      <c r="F10" s="95">
        <f>Sep!G4</f>
        <v>0</v>
      </c>
      <c r="G10" s="95">
        <f>Sep!H4</f>
        <v>0</v>
      </c>
      <c r="H10" s="95">
        <f>Sep!I4</f>
        <v>0</v>
      </c>
      <c r="I10" s="95">
        <f>Sep!J4</f>
        <v>0</v>
      </c>
      <c r="J10" s="137">
        <f>Sep!K4</f>
        <v>0</v>
      </c>
    </row>
    <row r="11" spans="1:10">
      <c r="A11" s="136" t="s">
        <v>67</v>
      </c>
      <c r="B11" s="95">
        <f>Oct!C4</f>
        <v>0</v>
      </c>
      <c r="C11" s="95">
        <f>Oct!D4</f>
        <v>0</v>
      </c>
      <c r="D11" s="95">
        <f>Oct!E4</f>
        <v>0</v>
      </c>
      <c r="E11" s="95">
        <f>Oct!F4</f>
        <v>0</v>
      </c>
      <c r="F11" s="95">
        <f>Oct!G4</f>
        <v>0</v>
      </c>
      <c r="G11" s="95">
        <f>Oct!H4</f>
        <v>0</v>
      </c>
      <c r="H11" s="95">
        <f>Oct!I4</f>
        <v>0</v>
      </c>
      <c r="I11" s="95">
        <f>Oct!J4</f>
        <v>0</v>
      </c>
      <c r="J11" s="137">
        <f>Oct!K4</f>
        <v>0</v>
      </c>
    </row>
    <row r="12" spans="1:10">
      <c r="A12" s="136" t="s">
        <v>68</v>
      </c>
      <c r="B12" s="95">
        <f>Nov!C4</f>
        <v>0</v>
      </c>
      <c r="C12" s="95">
        <f>Nov!D4</f>
        <v>0</v>
      </c>
      <c r="D12" s="95">
        <f>Nov!E4</f>
        <v>0</v>
      </c>
      <c r="E12" s="95">
        <f>Nov!F4</f>
        <v>0</v>
      </c>
      <c r="F12" s="95">
        <f>Nov!G4</f>
        <v>0</v>
      </c>
      <c r="G12" s="95">
        <f>Nov!H4</f>
        <v>0</v>
      </c>
      <c r="H12" s="95">
        <f>Nov!I4</f>
        <v>0</v>
      </c>
      <c r="I12" s="95">
        <f>Nov!J4</f>
        <v>0</v>
      </c>
      <c r="J12" s="137">
        <f>Nov!K4</f>
        <v>0</v>
      </c>
    </row>
    <row r="13" spans="1:10" ht="16" thickBot="1">
      <c r="A13" s="138" t="s">
        <v>69</v>
      </c>
      <c r="B13" s="98">
        <f>Dec!C4</f>
        <v>0</v>
      </c>
      <c r="C13" s="98">
        <f>Dec!D4</f>
        <v>0</v>
      </c>
      <c r="D13" s="98">
        <f>Dec!E4</f>
        <v>0</v>
      </c>
      <c r="E13" s="98">
        <f>Dec!F4</f>
        <v>0</v>
      </c>
      <c r="F13" s="98">
        <f>Dec!G4</f>
        <v>0</v>
      </c>
      <c r="G13" s="98">
        <f>Dec!H4</f>
        <v>0</v>
      </c>
      <c r="H13" s="98">
        <f>Dec!I4</f>
        <v>0</v>
      </c>
      <c r="I13" s="146">
        <f>Dec!J4</f>
        <v>0</v>
      </c>
      <c r="J13" s="139">
        <f>Dec!K4</f>
        <v>0</v>
      </c>
    </row>
    <row r="14" spans="1:10" ht="29.5" customHeight="1">
      <c r="A14" s="140" t="s">
        <v>91</v>
      </c>
      <c r="B14" s="99">
        <f>COUNTIF(B2:B13,"&lt;5")</f>
        <v>11</v>
      </c>
      <c r="C14" s="99">
        <f>COUNTIF(C2:C13,"&lt;5")</f>
        <v>11</v>
      </c>
      <c r="D14" s="99">
        <f t="shared" ref="D14:I14" si="0">COUNTIF(D2:D13,"&lt;5")</f>
        <v>11</v>
      </c>
      <c r="E14" s="99">
        <f t="shared" si="0"/>
        <v>12</v>
      </c>
      <c r="F14" s="99">
        <f t="shared" si="0"/>
        <v>11</v>
      </c>
      <c r="G14" s="99">
        <f t="shared" si="0"/>
        <v>11</v>
      </c>
      <c r="H14" s="99">
        <f t="shared" si="0"/>
        <v>11</v>
      </c>
      <c r="I14" s="145">
        <f t="shared" si="0"/>
        <v>12</v>
      </c>
      <c r="J14" s="141">
        <f t="shared" ref="J14" si="1">COUNTIF(J2:J13,"&lt;5")</f>
        <v>12</v>
      </c>
    </row>
    <row r="15" spans="1:10" ht="35.15" customHeight="1" thickBot="1">
      <c r="A15" s="142" t="s">
        <v>92</v>
      </c>
      <c r="B15" s="143">
        <f>SUM(B2:B12)/11</f>
        <v>0.81818181818181823</v>
      </c>
      <c r="C15" s="143">
        <f t="shared" ref="C15:H15" si="2">SUM(C2:C12)/11</f>
        <v>0.45454545454545453</v>
      </c>
      <c r="D15" s="143">
        <f t="shared" si="2"/>
        <v>2.3636363636363638</v>
      </c>
      <c r="E15" s="143">
        <f t="shared" si="2"/>
        <v>0.36363636363636365</v>
      </c>
      <c r="F15" s="143">
        <f t="shared" si="2"/>
        <v>0.54545454545454541</v>
      </c>
      <c r="G15" s="143">
        <f t="shared" si="2"/>
        <v>0.45454545454545453</v>
      </c>
      <c r="H15" s="143">
        <f t="shared" si="2"/>
        <v>0.45454545454545453</v>
      </c>
      <c r="I15" s="143">
        <f>SUM(I2:I12)/11</f>
        <v>0</v>
      </c>
      <c r="J15" s="144">
        <f>SUM(J2:J12)/11</f>
        <v>0.27272727272727271</v>
      </c>
    </row>
    <row r="17" spans="2:7" ht="17">
      <c r="B17" s="195" t="s">
        <v>93</v>
      </c>
      <c r="C17" s="196"/>
      <c r="D17" s="196"/>
      <c r="E17" s="196"/>
      <c r="F17" s="196"/>
      <c r="G17" s="196"/>
    </row>
  </sheetData>
  <mergeCells count="1">
    <mergeCell ref="B17:G17"/>
  </mergeCells>
  <phoneticPr fontId="2" type="noConversion"/>
  <conditionalFormatting sqref="B2:J13">
    <cfRule type="cellIs" dxfId="2" priority="1" operator="equal">
      <formula>0</formula>
    </cfRule>
    <cfRule type="cellIs" dxfId="1" priority="9" operator="lessThanOrEqual">
      <formula>12</formula>
    </cfRule>
  </conditionalFormatting>
  <conditionalFormatting sqref="B14:J14">
    <cfRule type="cellIs" dxfId="0" priority="6" operator="greaterThanOrEqual">
      <formula>1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KPI目標說明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每月結單數量差異</vt:lpstr>
      <vt:lpstr>結單率</vt:lpstr>
      <vt:lpstr>預保次數統計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 David 王國強</dc:creator>
  <cp:keywords/>
  <dc:description/>
  <cp:lastModifiedBy>總公司 李豪勳 Haohsun.Lee</cp:lastModifiedBy>
  <cp:revision/>
  <dcterms:created xsi:type="dcterms:W3CDTF">2020-02-05T07:20:48Z</dcterms:created>
  <dcterms:modified xsi:type="dcterms:W3CDTF">2024-05-28T03:03:03Z</dcterms:modified>
  <cp:category/>
  <cp:contentStatus/>
</cp:coreProperties>
</file>