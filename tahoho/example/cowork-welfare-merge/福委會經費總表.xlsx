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度彙總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月份</t>
        </is>
      </c>
      <c r="B1" s="1" t="inlineStr">
        <is>
          <t>公司</t>
        </is>
      </c>
      <c r="C1" s="1" t="inlineStr">
        <is>
          <t>員工數</t>
        </is>
      </c>
      <c r="D1" s="1" t="inlineStr">
        <is>
          <t>人數</t>
        </is>
      </c>
      <c r="E1" s="1" t="inlineStr">
        <is>
          <t>薪資總額</t>
        </is>
      </c>
      <c r="F1" s="1" t="inlineStr">
        <is>
          <t>薪資合計</t>
        </is>
      </c>
      <c r="G1" s="1" t="inlineStr">
        <is>
          <t>營收</t>
        </is>
      </c>
      <c r="H1" s="1" t="inlineStr">
        <is>
          <t>提撥金額</t>
        </is>
      </c>
      <c r="I1" s="1" t="inlineStr">
        <is>
          <t>提撥金額(元)</t>
        </is>
      </c>
      <c r="J1" s="1" t="inlineStr">
        <is>
          <t>支出合計</t>
        </is>
      </c>
      <c r="K1" s="1" t="inlineStr">
        <is>
          <t>餘額</t>
        </is>
      </c>
      <c r="L1" s="1" t="inlineStr">
        <is>
          <t>累計餘額</t>
        </is>
      </c>
      <c r="M1" s="1" t="inlineStr">
        <is>
          <t>備註</t>
        </is>
      </c>
      <c r="N1" s="1" t="inlineStr">
        <is>
          <t>備註2</t>
        </is>
      </c>
      <c r="O1" s="1" t="inlineStr">
        <is>
          <t>承辦人</t>
        </is>
      </c>
      <c r="P1" s="1" t="inlineStr">
        <is>
          <t>覆核</t>
        </is>
      </c>
    </row>
    <row r="2">
      <c r="A2" t="n">
        <v>1</v>
      </c>
      <c r="B2" t="inlineStr">
        <is>
          <t>北區環保</t>
        </is>
      </c>
      <c r="C2" t="n">
        <v>85</v>
      </c>
      <c r="D2" t="n">
        <v>85</v>
      </c>
      <c r="E2" t="n">
        <v>4420000</v>
      </c>
      <c r="F2" t="n">
        <v>4420000</v>
      </c>
      <c r="G2" t="n">
        <v>32000000</v>
      </c>
      <c r="H2" t="n">
        <v>38100</v>
      </c>
      <c r="I2" t="n">
        <v>38100</v>
      </c>
      <c r="J2" t="n">
        <v>28000</v>
      </c>
      <c r="K2">
        <f>H2-J2</f>
        <v/>
      </c>
      <c r="L2">
        <f>K2</f>
        <v/>
      </c>
      <c r="M2" t="inlineStr"/>
      <c r="N2" t="inlineStr"/>
      <c r="O2" t="inlineStr">
        <is>
          <t>陳小芬</t>
        </is>
      </c>
      <c r="P2" t="inlineStr">
        <is>
          <t>林經理</t>
        </is>
      </c>
    </row>
    <row r="3">
      <c r="A3" t="n">
        <v>1</v>
      </c>
      <c r="B3" t="inlineStr">
        <is>
          <t>中區環保</t>
        </is>
      </c>
      <c r="C3" t="n">
        <v>120</v>
      </c>
      <c r="D3" t="n">
        <v>120</v>
      </c>
      <c r="E3" t="n">
        <v>5760000</v>
      </c>
      <c r="F3" t="n">
        <v>5760000</v>
      </c>
      <c r="G3" t="n">
        <v>45000000</v>
      </c>
      <c r="H3" t="n">
        <v>51300</v>
      </c>
      <c r="I3" t="n">
        <v>51300</v>
      </c>
      <c r="J3" t="n">
        <v>45000</v>
      </c>
      <c r="K3">
        <f>H3-J3</f>
        <v/>
      </c>
      <c r="L3">
        <f>K3</f>
        <v/>
      </c>
      <c r="M3" t="inlineStr"/>
      <c r="N3" t="inlineStr"/>
      <c r="O3" t="inlineStr">
        <is>
          <t>陳小芬</t>
        </is>
      </c>
      <c r="P3" t="inlineStr">
        <is>
          <t>林經理</t>
        </is>
      </c>
    </row>
    <row r="4">
      <c r="A4" t="n">
        <v>1</v>
      </c>
      <c r="B4" t="inlineStr">
        <is>
          <t>南區環保</t>
        </is>
      </c>
      <c r="C4" t="n">
        <v>60</v>
      </c>
      <c r="D4" t="n">
        <v>60</v>
      </c>
      <c r="E4" t="n">
        <v>3000000</v>
      </c>
      <c r="F4" t="n">
        <v>3000000</v>
      </c>
      <c r="G4" t="n">
        <v>18000000</v>
      </c>
      <c r="H4" t="n">
        <v>24000</v>
      </c>
      <c r="I4" t="n">
        <v>24000</v>
      </c>
      <c r="J4" t="n">
        <v>20000</v>
      </c>
      <c r="K4">
        <f>H4-J4</f>
        <v/>
      </c>
      <c r="L4">
        <f>K4</f>
        <v/>
      </c>
      <c r="M4" t="inlineStr"/>
      <c r="N4" t="inlineStr"/>
      <c r="O4" t="inlineStr">
        <is>
          <t>陳小芬</t>
        </is>
      </c>
      <c r="P4" t="inlineStr">
        <is>
          <t>林經理</t>
        </is>
      </c>
    </row>
    <row r="5">
      <c r="A5" t="n">
        <v>1</v>
      </c>
      <c r="B5" t="inlineStr">
        <is>
          <t>資源再生</t>
        </is>
      </c>
      <c r="C5" t="n">
        <v>200</v>
      </c>
      <c r="D5" t="n">
        <v>200</v>
      </c>
      <c r="E5" t="n">
        <v>11000000</v>
      </c>
      <c r="F5" t="n">
        <v>11000000</v>
      </c>
      <c r="G5" t="n">
        <v>58000000</v>
      </c>
      <c r="H5" t="n">
        <v>84000</v>
      </c>
      <c r="I5" t="n">
        <v>84000</v>
      </c>
      <c r="J5" t="n">
        <v>72000</v>
      </c>
      <c r="K5">
        <f>H5-J5</f>
        <v/>
      </c>
      <c r="L5">
        <f>K5</f>
        <v/>
      </c>
      <c r="M5" t="inlineStr"/>
      <c r="N5" t="inlineStr"/>
      <c r="O5" t="inlineStr">
        <is>
          <t>陳小芬</t>
        </is>
      </c>
      <c r="P5" t="inlineStr">
        <is>
          <t>林經理</t>
        </is>
      </c>
    </row>
    <row r="6">
      <c r="A6" t="n">
        <v>1</v>
      </c>
      <c r="B6" t="inlineStr">
        <is>
          <t>清運物流</t>
        </is>
      </c>
      <c r="C6" t="n">
        <v>45</v>
      </c>
      <c r="D6" t="n">
        <v>45</v>
      </c>
      <c r="E6" t="n">
        <v>2070000</v>
      </c>
      <c r="F6" t="n">
        <v>2070000</v>
      </c>
      <c r="G6" t="n">
        <v>9500000</v>
      </c>
      <c r="H6" t="n">
        <v>15100</v>
      </c>
      <c r="I6" t="n">
        <v>15100</v>
      </c>
      <c r="J6" t="n">
        <v>13000</v>
      </c>
      <c r="K6">
        <f>H6-J6</f>
        <v/>
      </c>
      <c r="L6">
        <f>K6</f>
        <v/>
      </c>
      <c r="M6" t="inlineStr"/>
      <c r="N6" t="inlineStr"/>
      <c r="O6" t="inlineStr">
        <is>
          <t>陳小芬</t>
        </is>
      </c>
      <c r="P6" t="inlineStr">
        <is>
          <t>林經理</t>
        </is>
      </c>
    </row>
    <row r="7">
      <c r="A7" t="n">
        <v>2</v>
      </c>
      <c r="B7" t="inlineStr">
        <is>
          <t>北區環保</t>
        </is>
      </c>
      <c r="C7" t="n">
        <v>85</v>
      </c>
      <c r="D7" t="n">
        <v>85</v>
      </c>
      <c r="E7" t="n">
        <v>4420000</v>
      </c>
      <c r="F7" t="n">
        <v>4420000</v>
      </c>
      <c r="G7" t="n">
        <v>32000000</v>
      </c>
      <c r="H7" t="n">
        <v>38100</v>
      </c>
      <c r="I7" t="n">
        <v>38100</v>
      </c>
      <c r="J7" t="n">
        <v>30500</v>
      </c>
      <c r="K7">
        <f>H7-J7</f>
        <v/>
      </c>
      <c r="L7">
        <f>L2+K7</f>
        <v/>
      </c>
      <c r="M7" t="inlineStr"/>
      <c r="N7" t="inlineStr"/>
      <c r="O7" t="inlineStr">
        <is>
          <t>陳小芬</t>
        </is>
      </c>
      <c r="P7" t="inlineStr">
        <is>
          <t>林經理</t>
        </is>
      </c>
    </row>
    <row r="8">
      <c r="A8" t="n">
        <v>2</v>
      </c>
      <c r="B8" t="inlineStr">
        <is>
          <t>中區環保</t>
        </is>
      </c>
      <c r="C8" t="n">
        <v>120</v>
      </c>
      <c r="D8" t="n">
        <v>120</v>
      </c>
      <c r="E8" t="n">
        <v>5760000</v>
      </c>
      <c r="F8" t="n">
        <v>5760000</v>
      </c>
      <c r="G8" t="n">
        <v>45000000</v>
      </c>
      <c r="H8" t="n">
        <v>51300</v>
      </c>
      <c r="I8" t="n">
        <v>51300</v>
      </c>
      <c r="J8" t="n">
        <v>47000</v>
      </c>
      <c r="K8">
        <f>H8-J8</f>
        <v/>
      </c>
      <c r="L8">
        <f>L3+K8</f>
        <v/>
      </c>
      <c r="M8" t="inlineStr"/>
      <c r="N8" t="inlineStr"/>
      <c r="O8" t="inlineStr">
        <is>
          <t>陳小芬</t>
        </is>
      </c>
      <c r="P8" t="inlineStr">
        <is>
          <t>林經理</t>
        </is>
      </c>
    </row>
    <row r="9">
      <c r="A9" t="n">
        <v>2</v>
      </c>
      <c r="B9" t="inlineStr">
        <is>
          <t>南區環保</t>
        </is>
      </c>
      <c r="C9" t="n">
        <v>60</v>
      </c>
      <c r="D9" t="n">
        <v>60</v>
      </c>
      <c r="E9" t="n">
        <v>3000000</v>
      </c>
      <c r="F9" t="n">
        <v>3000000</v>
      </c>
      <c r="G9" t="n">
        <v>18000000</v>
      </c>
      <c r="H9" t="n">
        <v>24000</v>
      </c>
      <c r="I9" t="n">
        <v>24000</v>
      </c>
      <c r="J9" t="n">
        <v>21500</v>
      </c>
      <c r="K9">
        <f>H9-J9</f>
        <v/>
      </c>
      <c r="L9">
        <f>L4+K9</f>
        <v/>
      </c>
      <c r="M9" t="inlineStr"/>
      <c r="N9" t="inlineStr"/>
      <c r="O9" t="inlineStr">
        <is>
          <t>陳小芬</t>
        </is>
      </c>
      <c r="P9" t="inlineStr">
        <is>
          <t>林經理</t>
        </is>
      </c>
    </row>
    <row r="10">
      <c r="A10" t="n">
        <v>2</v>
      </c>
      <c r="B10" t="inlineStr">
        <is>
          <t>資源再生</t>
        </is>
      </c>
      <c r="C10" t="n">
        <v>200</v>
      </c>
      <c r="D10" t="n">
        <v>200</v>
      </c>
      <c r="E10" t="n">
        <v>11000000</v>
      </c>
      <c r="F10" t="n">
        <v>11000000</v>
      </c>
      <c r="G10" t="n">
        <v>58000000</v>
      </c>
      <c r="H10" t="n">
        <v>84000</v>
      </c>
      <c r="I10" t="n">
        <v>84000</v>
      </c>
      <c r="J10" t="n">
        <v>75000</v>
      </c>
      <c r="K10">
        <f>H10-J10</f>
        <v/>
      </c>
      <c r="L10">
        <f>L5+K10</f>
        <v/>
      </c>
      <c r="M10" t="inlineStr"/>
      <c r="N10" t="inlineStr"/>
      <c r="O10" t="inlineStr">
        <is>
          <t>陳小芬</t>
        </is>
      </c>
      <c r="P10" t="inlineStr">
        <is>
          <t>林經理</t>
        </is>
      </c>
    </row>
    <row r="11">
      <c r="A11" t="n">
        <v>2</v>
      </c>
      <c r="B11" t="inlineStr">
        <is>
          <t>清運物流</t>
        </is>
      </c>
      <c r="C11" t="n">
        <v>45</v>
      </c>
      <c r="D11" t="n">
        <v>45</v>
      </c>
      <c r="E11" t="n">
        <v>2070000</v>
      </c>
      <c r="F11" t="n">
        <v>2070000</v>
      </c>
      <c r="G11" t="n">
        <v>9500000</v>
      </c>
      <c r="H11" t="n">
        <v>15100</v>
      </c>
      <c r="I11" t="n">
        <v>15100</v>
      </c>
      <c r="J11" t="n">
        <v>13500</v>
      </c>
      <c r="K11">
        <f>H11-J11</f>
        <v/>
      </c>
      <c r="L11">
        <f>L6+K11</f>
        <v/>
      </c>
      <c r="M11" t="inlineStr"/>
      <c r="N11" t="inlineStr"/>
      <c r="O11" t="inlineStr">
        <is>
          <t>陳小芬</t>
        </is>
      </c>
      <c r="P11" t="inlineStr">
        <is>
          <t>林經理</t>
        </is>
      </c>
    </row>
    <row r="12">
      <c r="A12" t="n">
        <v>3</v>
      </c>
      <c r="B12" t="inlineStr">
        <is>
          <t>北區環保</t>
        </is>
      </c>
      <c r="C12" t="n">
        <v>85</v>
      </c>
      <c r="D12" t="n">
        <v>85</v>
      </c>
      <c r="E12" t="n">
        <v>4420000</v>
      </c>
      <c r="F12" t="n">
        <v>4420000</v>
      </c>
      <c r="G12" t="n">
        <v>32000000</v>
      </c>
      <c r="H12" t="n">
        <v>38100</v>
      </c>
      <c r="I12" t="n">
        <v>38100</v>
      </c>
      <c r="J12" t="n">
        <v>26000</v>
      </c>
      <c r="K12">
        <f>H12-J12</f>
        <v/>
      </c>
      <c r="L12">
        <f>L7+K12</f>
        <v/>
      </c>
      <c r="M12" t="inlineStr"/>
      <c r="N12" t="inlineStr"/>
      <c r="O12" t="inlineStr">
        <is>
          <t>陳小芬</t>
        </is>
      </c>
      <c r="P12" t="inlineStr">
        <is>
          <t>林經理</t>
        </is>
      </c>
    </row>
    <row r="13">
      <c r="A13" t="n">
        <v>3</v>
      </c>
      <c r="B13" t="inlineStr">
        <is>
          <t>中區環保</t>
        </is>
      </c>
      <c r="C13" t="n">
        <v>120</v>
      </c>
      <c r="D13" t="n">
        <v>120</v>
      </c>
      <c r="E13" t="n">
        <v>5760000</v>
      </c>
      <c r="F13" t="n">
        <v>5760000</v>
      </c>
      <c r="G13" t="n">
        <v>45000000</v>
      </c>
      <c r="H13" t="n">
        <v>51300</v>
      </c>
      <c r="I13" t="n">
        <v>51300</v>
      </c>
      <c r="J13" t="n">
        <v>44000</v>
      </c>
      <c r="K13">
        <f>H13-J13</f>
        <v/>
      </c>
      <c r="L13">
        <f>L8+K13</f>
        <v/>
      </c>
      <c r="M13" t="inlineStr"/>
      <c r="N13" t="inlineStr"/>
      <c r="O13" t="inlineStr">
        <is>
          <t>陳小芬</t>
        </is>
      </c>
      <c r="P13" t="inlineStr">
        <is>
          <t>林經理</t>
        </is>
      </c>
    </row>
    <row r="14">
      <c r="A14" t="n">
        <v>3</v>
      </c>
      <c r="B14" t="inlineStr">
        <is>
          <t>南區環保</t>
        </is>
      </c>
      <c r="C14" t="n">
        <v>60</v>
      </c>
      <c r="D14" t="n">
        <v>60</v>
      </c>
      <c r="E14" t="n">
        <v>3000000</v>
      </c>
      <c r="F14" t="n">
        <v>3000000</v>
      </c>
      <c r="G14" t="n">
        <v>18000000</v>
      </c>
      <c r="H14" t="n">
        <v>24000</v>
      </c>
      <c r="I14" t="n">
        <v>24000</v>
      </c>
      <c r="J14" t="n">
        <v>19000</v>
      </c>
      <c r="K14">
        <f>H14-J14</f>
        <v/>
      </c>
      <c r="L14">
        <f>L9+K14</f>
        <v/>
      </c>
      <c r="M14" t="inlineStr"/>
      <c r="N14" t="inlineStr"/>
      <c r="O14" t="inlineStr">
        <is>
          <t>陳小芬</t>
        </is>
      </c>
      <c r="P14" t="inlineStr">
        <is>
          <t>林經理</t>
        </is>
      </c>
    </row>
    <row r="15">
      <c r="A15" t="n">
        <v>3</v>
      </c>
      <c r="B15" t="inlineStr">
        <is>
          <t>資源再生</t>
        </is>
      </c>
      <c r="C15" t="n">
        <v>200</v>
      </c>
      <c r="D15" t="n">
        <v>200</v>
      </c>
      <c r="E15" t="n">
        <v>11000000</v>
      </c>
      <c r="F15" t="n">
        <v>11000000</v>
      </c>
      <c r="G15" t="n">
        <v>58000000</v>
      </c>
      <c r="H15" t="n">
        <v>84000</v>
      </c>
      <c r="I15" t="n">
        <v>84000</v>
      </c>
      <c r="J15" t="n">
        <v>70000</v>
      </c>
      <c r="K15">
        <f>H15-J15</f>
        <v/>
      </c>
      <c r="L15">
        <f>L10+K15</f>
        <v/>
      </c>
      <c r="M15" t="inlineStr"/>
      <c r="N15" t="inlineStr"/>
      <c r="O15" t="inlineStr">
        <is>
          <t>陳小芬</t>
        </is>
      </c>
      <c r="P15" t="inlineStr">
        <is>
          <t>林經理</t>
        </is>
      </c>
    </row>
    <row r="16">
      <c r="A16" t="n">
        <v>3</v>
      </c>
      <c r="B16" t="inlineStr">
        <is>
          <t>清運物流</t>
        </is>
      </c>
      <c r="C16" t="n">
        <v>45</v>
      </c>
      <c r="D16" t="n">
        <v>45</v>
      </c>
      <c r="E16" t="n">
        <v>2070000</v>
      </c>
      <c r="F16" t="n">
        <v>2070000</v>
      </c>
      <c r="G16" t="n">
        <v>9500000</v>
      </c>
      <c r="H16" t="n">
        <v>15100</v>
      </c>
      <c r="I16" t="n">
        <v>15100</v>
      </c>
      <c r="J16" t="n">
        <v>12500</v>
      </c>
      <c r="K16">
        <f>H16-J16</f>
        <v/>
      </c>
      <c r="L16">
        <f>L11+K16</f>
        <v/>
      </c>
      <c r="M16" t="inlineStr"/>
      <c r="N16" t="inlineStr"/>
      <c r="O16" t="inlineStr">
        <is>
          <t>陳小芬</t>
        </is>
      </c>
      <c r="P16" t="inlineStr">
        <is>
          <t>林經理</t>
        </is>
      </c>
    </row>
    <row r="17">
      <c r="A17" t="n">
        <v>4</v>
      </c>
      <c r="B17" t="inlineStr">
        <is>
          <t>北區環保</t>
        </is>
      </c>
      <c r="C17" t="n">
        <v>85</v>
      </c>
      <c r="D17" t="n">
        <v>85</v>
      </c>
      <c r="E17" t="n">
        <v>4420000</v>
      </c>
      <c r="F17" t="n">
        <v>4420000</v>
      </c>
      <c r="G17" t="n">
        <v>32000000</v>
      </c>
      <c r="H17" t="n">
        <v>38100</v>
      </c>
      <c r="I17" t="n">
        <v>38100</v>
      </c>
      <c r="J17" t="n">
        <v>31000</v>
      </c>
      <c r="K17">
        <f>H17-J17</f>
        <v/>
      </c>
      <c r="L17">
        <f>L12+K17</f>
        <v/>
      </c>
      <c r="M17" t="inlineStr"/>
      <c r="N17" t="inlineStr"/>
      <c r="O17" t="inlineStr">
        <is>
          <t>陳小芬</t>
        </is>
      </c>
      <c r="P17" t="inlineStr">
        <is>
          <t>林經理</t>
        </is>
      </c>
    </row>
    <row r="18">
      <c r="A18" t="n">
        <v>4</v>
      </c>
      <c r="B18" t="inlineStr">
        <is>
          <t>中區環保</t>
        </is>
      </c>
      <c r="C18" t="n">
        <v>120</v>
      </c>
      <c r="D18" t="n">
        <v>120</v>
      </c>
      <c r="E18" t="n">
        <v>5760000</v>
      </c>
      <c r="F18" t="n">
        <v>5760000</v>
      </c>
      <c r="G18" t="n">
        <v>45000000</v>
      </c>
      <c r="H18" t="n">
        <v>51300</v>
      </c>
      <c r="I18" t="n">
        <v>51300</v>
      </c>
      <c r="J18" t="n">
        <v>48000</v>
      </c>
      <c r="K18">
        <f>H18-J18</f>
        <v/>
      </c>
      <c r="L18">
        <f>L13+K18</f>
        <v/>
      </c>
      <c r="M18" t="inlineStr"/>
      <c r="N18" t="inlineStr"/>
      <c r="O18" t="inlineStr">
        <is>
          <t>陳小芬</t>
        </is>
      </c>
      <c r="P18" t="inlineStr">
        <is>
          <t>林經理</t>
        </is>
      </c>
    </row>
    <row r="19">
      <c r="A19" t="n">
        <v>4</v>
      </c>
      <c r="B19" t="inlineStr">
        <is>
          <t>南區環保</t>
        </is>
      </c>
      <c r="C19" t="n">
        <v>60</v>
      </c>
      <c r="D19" t="n">
        <v>60</v>
      </c>
      <c r="E19" t="n">
        <v>3000000</v>
      </c>
      <c r="F19" t="n">
        <v>3000000</v>
      </c>
      <c r="G19" t="n">
        <v>18000000</v>
      </c>
      <c r="H19" t="n">
        <v>24000</v>
      </c>
      <c r="I19" t="n">
        <v>24000</v>
      </c>
      <c r="J19" t="n">
        <v>22000</v>
      </c>
      <c r="K19">
        <f>H19-J19</f>
        <v/>
      </c>
      <c r="L19">
        <f>L14+K19</f>
        <v/>
      </c>
      <c r="M19" t="inlineStr"/>
      <c r="N19" t="inlineStr"/>
      <c r="O19" t="inlineStr">
        <is>
          <t>陳小芬</t>
        </is>
      </c>
      <c r="P19" t="inlineStr">
        <is>
          <t>林經理</t>
        </is>
      </c>
    </row>
    <row r="20">
      <c r="A20" t="n">
        <v>4</v>
      </c>
      <c r="B20" t="inlineStr">
        <is>
          <t>資源再生</t>
        </is>
      </c>
      <c r="C20" t="n">
        <v>200</v>
      </c>
      <c r="D20" t="n">
        <v>200</v>
      </c>
      <c r="E20" t="n">
        <v>11000000</v>
      </c>
      <c r="F20" t="n">
        <v>11000000</v>
      </c>
      <c r="G20" t="n">
        <v>58000000</v>
      </c>
      <c r="H20" t="n">
        <v>84000</v>
      </c>
      <c r="I20" t="n">
        <v>84000</v>
      </c>
      <c r="J20" t="n">
        <v>76000</v>
      </c>
      <c r="K20">
        <f>H20-J20</f>
        <v/>
      </c>
      <c r="L20">
        <f>L15+K20</f>
        <v/>
      </c>
      <c r="M20" t="inlineStr"/>
      <c r="N20" t="inlineStr"/>
      <c r="O20" t="inlineStr">
        <is>
          <t>陳小芬</t>
        </is>
      </c>
      <c r="P20" t="inlineStr">
        <is>
          <t>林經理</t>
        </is>
      </c>
    </row>
    <row r="21">
      <c r="A21" t="n">
        <v>4</v>
      </c>
      <c r="B21" t="inlineStr">
        <is>
          <t>清運物流</t>
        </is>
      </c>
      <c r="C21" t="n">
        <v>45</v>
      </c>
      <c r="D21" t="n">
        <v>45</v>
      </c>
      <c r="E21" t="n">
        <v>2070000</v>
      </c>
      <c r="F21" t="n">
        <v>2070000</v>
      </c>
      <c r="G21" t="n">
        <v>9500000</v>
      </c>
      <c r="H21" t="n">
        <v>15100</v>
      </c>
      <c r="I21" t="n">
        <v>15100</v>
      </c>
      <c r="J21" t="n">
        <v>14000</v>
      </c>
      <c r="K21">
        <f>H21-J21</f>
        <v/>
      </c>
      <c r="L21">
        <f>L16+K21</f>
        <v/>
      </c>
      <c r="M21" t="inlineStr"/>
      <c r="N21" t="inlineStr"/>
      <c r="O21" t="inlineStr">
        <is>
          <t>陳小芬</t>
        </is>
      </c>
      <c r="P21" t="inlineStr">
        <is>
          <t>林經理</t>
        </is>
      </c>
    </row>
    <row r="22">
      <c r="A22" t="n">
        <v>5</v>
      </c>
      <c r="B22" t="inlineStr">
        <is>
          <t>北區環保</t>
        </is>
      </c>
      <c r="C22" t="n">
        <v>85</v>
      </c>
      <c r="D22" t="n">
        <v>85</v>
      </c>
      <c r="E22" t="n">
        <v>4420000</v>
      </c>
      <c r="F22" t="n">
        <v>4420000</v>
      </c>
      <c r="G22" t="n">
        <v>32000000</v>
      </c>
      <c r="H22" t="n">
        <v>38100</v>
      </c>
      <c r="I22" t="n">
        <v>38100</v>
      </c>
      <c r="J22" t="n">
        <v>29500</v>
      </c>
      <c r="K22">
        <f>H22-J22</f>
        <v/>
      </c>
      <c r="L22">
        <f>L17+K22</f>
        <v/>
      </c>
      <c r="M22" t="inlineStr"/>
      <c r="N22" t="inlineStr"/>
      <c r="O22" t="inlineStr">
        <is>
          <t>陳小芬</t>
        </is>
      </c>
      <c r="P22" t="inlineStr">
        <is>
          <t>林經理</t>
        </is>
      </c>
    </row>
    <row r="23">
      <c r="A23" t="n">
        <v>5</v>
      </c>
      <c r="B23" t="inlineStr">
        <is>
          <t>中區環保</t>
        </is>
      </c>
      <c r="C23" t="n">
        <v>120</v>
      </c>
      <c r="D23" t="n">
        <v>120</v>
      </c>
      <c r="E23" t="n">
        <v>5760000</v>
      </c>
      <c r="F23" t="n">
        <v>5760000</v>
      </c>
      <c r="G23" t="n">
        <v>45000000</v>
      </c>
      <c r="H23" t="n">
        <v>51300</v>
      </c>
      <c r="I23" t="n">
        <v>51300</v>
      </c>
      <c r="J23" t="n">
        <v>46500</v>
      </c>
      <c r="K23">
        <f>H23-J23</f>
        <v/>
      </c>
      <c r="L23">
        <f>L18+K23</f>
        <v/>
      </c>
      <c r="M23" t="inlineStr"/>
      <c r="N23" t="inlineStr"/>
      <c r="O23" t="inlineStr">
        <is>
          <t>陳小芬</t>
        </is>
      </c>
      <c r="P23" t="inlineStr">
        <is>
          <t>林經理</t>
        </is>
      </c>
    </row>
    <row r="24">
      <c r="A24" t="n">
        <v>5</v>
      </c>
      <c r="B24" t="inlineStr">
        <is>
          <t>南區環保</t>
        </is>
      </c>
      <c r="C24" t="n">
        <v>60</v>
      </c>
      <c r="D24" t="n">
        <v>60</v>
      </c>
      <c r="E24" t="n">
        <v>3000000</v>
      </c>
      <c r="F24" t="n">
        <v>3000000</v>
      </c>
      <c r="G24" t="n">
        <v>18000000</v>
      </c>
      <c r="H24" t="n">
        <v>24000</v>
      </c>
      <c r="I24" t="n">
        <v>24000</v>
      </c>
      <c r="J24" t="n">
        <v>20500</v>
      </c>
      <c r="K24">
        <f>H24-J24</f>
        <v/>
      </c>
      <c r="L24">
        <f>L19+K24</f>
        <v/>
      </c>
      <c r="M24" t="inlineStr"/>
      <c r="N24" t="inlineStr"/>
      <c r="O24" t="inlineStr">
        <is>
          <t>陳小芬</t>
        </is>
      </c>
      <c r="P24" t="inlineStr">
        <is>
          <t>林經理</t>
        </is>
      </c>
    </row>
    <row r="25">
      <c r="A25" t="n">
        <v>5</v>
      </c>
      <c r="B25" t="inlineStr">
        <is>
          <t>資源再生</t>
        </is>
      </c>
      <c r="C25" t="n">
        <v>200</v>
      </c>
      <c r="D25" t="n">
        <v>200</v>
      </c>
      <c r="E25" t="n">
        <v>11000000</v>
      </c>
      <c r="F25" t="n">
        <v>11000000</v>
      </c>
      <c r="G25" t="n">
        <v>58000000</v>
      </c>
      <c r="H25" t="n">
        <v>84000</v>
      </c>
      <c r="I25" t="n">
        <v>84000</v>
      </c>
      <c r="J25" t="n">
        <v>74000</v>
      </c>
      <c r="K25">
        <f>H25-J25</f>
        <v/>
      </c>
      <c r="L25">
        <f>L20+K25</f>
        <v/>
      </c>
      <c r="M25" t="inlineStr"/>
      <c r="N25" t="inlineStr"/>
      <c r="O25" t="inlineStr">
        <is>
          <t>陳小芬</t>
        </is>
      </c>
      <c r="P25" t="inlineStr">
        <is>
          <t>林經理</t>
        </is>
      </c>
    </row>
    <row r="26">
      <c r="A26" t="n">
        <v>5</v>
      </c>
      <c r="B26" t="inlineStr">
        <is>
          <t>清運物流</t>
        </is>
      </c>
      <c r="C26" t="n">
        <v>45</v>
      </c>
      <c r="D26" t="n">
        <v>45</v>
      </c>
      <c r="E26" t="n">
        <v>2070000</v>
      </c>
      <c r="F26" t="n">
        <v>2070000</v>
      </c>
      <c r="G26" t="n">
        <v>9500000</v>
      </c>
      <c r="H26" t="n">
        <v>15100</v>
      </c>
      <c r="I26" t="n">
        <v>15100</v>
      </c>
      <c r="J26" t="n">
        <v>13200</v>
      </c>
      <c r="K26">
        <f>H26-J26</f>
        <v/>
      </c>
      <c r="L26">
        <f>L21+K26</f>
        <v/>
      </c>
      <c r="M26" t="inlineStr"/>
      <c r="N26" t="inlineStr"/>
      <c r="O26" t="inlineStr">
        <is>
          <t>陳小芬</t>
        </is>
      </c>
      <c r="P26" t="inlineStr">
        <is>
          <t>林經理</t>
        </is>
      </c>
    </row>
    <row r="27">
      <c r="A27" t="n">
        <v>6</v>
      </c>
      <c r="B27" t="inlineStr">
        <is>
          <t>北區環保</t>
        </is>
      </c>
    </row>
    <row r="28">
      <c r="A28" t="n">
        <v>6</v>
      </c>
      <c r="B28" t="inlineStr">
        <is>
          <t>中區環保</t>
        </is>
      </c>
    </row>
    <row r="29">
      <c r="A29" t="n">
        <v>6</v>
      </c>
      <c r="B29" t="inlineStr">
        <is>
          <t>南區環保</t>
        </is>
      </c>
    </row>
    <row r="30">
      <c r="A30" t="n">
        <v>6</v>
      </c>
      <c r="B30" t="inlineStr">
        <is>
          <t>資源再生</t>
        </is>
      </c>
    </row>
    <row r="31">
      <c r="A31" t="n">
        <v>6</v>
      </c>
      <c r="B31" t="inlineStr">
        <is>
          <t>清運物流</t>
        </is>
      </c>
    </row>
    <row r="32">
      <c r="A32" t="n">
        <v>7</v>
      </c>
      <c r="B32" t="inlineStr">
        <is>
          <t>北區環保</t>
        </is>
      </c>
    </row>
    <row r="33">
      <c r="A33" t="n">
        <v>7</v>
      </c>
      <c r="B33" t="inlineStr">
        <is>
          <t>中區環保</t>
        </is>
      </c>
    </row>
    <row r="34">
      <c r="A34" t="n">
        <v>7</v>
      </c>
      <c r="B34" t="inlineStr">
        <is>
          <t>南區環保</t>
        </is>
      </c>
    </row>
    <row r="35">
      <c r="A35" t="n">
        <v>7</v>
      </c>
      <c r="B35" t="inlineStr">
        <is>
          <t>資源再生</t>
        </is>
      </c>
    </row>
    <row r="36">
      <c r="A36" t="n">
        <v>7</v>
      </c>
      <c r="B36" t="inlineStr">
        <is>
          <t>清運物流</t>
        </is>
      </c>
    </row>
    <row r="37">
      <c r="A37" t="n">
        <v>8</v>
      </c>
      <c r="B37" t="inlineStr">
        <is>
          <t>北區環保</t>
        </is>
      </c>
    </row>
    <row r="38">
      <c r="A38" t="n">
        <v>8</v>
      </c>
      <c r="B38" t="inlineStr">
        <is>
          <t>中區環保</t>
        </is>
      </c>
    </row>
    <row r="39">
      <c r="A39" t="n">
        <v>8</v>
      </c>
      <c r="B39" t="inlineStr">
        <is>
          <t>南區環保</t>
        </is>
      </c>
    </row>
    <row r="40">
      <c r="A40" t="n">
        <v>8</v>
      </c>
      <c r="B40" t="inlineStr">
        <is>
          <t>資源再生</t>
        </is>
      </c>
    </row>
    <row r="41">
      <c r="A41" t="n">
        <v>8</v>
      </c>
      <c r="B41" t="inlineStr">
        <is>
          <t>清運物流</t>
        </is>
      </c>
    </row>
    <row r="42">
      <c r="A42" t="n">
        <v>9</v>
      </c>
      <c r="B42" t="inlineStr">
        <is>
          <t>北區環保</t>
        </is>
      </c>
    </row>
    <row r="43">
      <c r="A43" t="n">
        <v>9</v>
      </c>
      <c r="B43" t="inlineStr">
        <is>
          <t>中區環保</t>
        </is>
      </c>
    </row>
    <row r="44">
      <c r="A44" t="n">
        <v>9</v>
      </c>
      <c r="B44" t="inlineStr">
        <is>
          <t>南區環保</t>
        </is>
      </c>
    </row>
    <row r="45">
      <c r="A45" t="n">
        <v>9</v>
      </c>
      <c r="B45" t="inlineStr">
        <is>
          <t>資源再生</t>
        </is>
      </c>
    </row>
    <row r="46">
      <c r="A46" t="n">
        <v>9</v>
      </c>
      <c r="B46" t="inlineStr">
        <is>
          <t>清運物流</t>
        </is>
      </c>
    </row>
    <row r="47">
      <c r="A47" t="n">
        <v>10</v>
      </c>
      <c r="B47" t="inlineStr">
        <is>
          <t>北區環保</t>
        </is>
      </c>
    </row>
    <row r="48">
      <c r="A48" t="n">
        <v>10</v>
      </c>
      <c r="B48" t="inlineStr">
        <is>
          <t>中區環保</t>
        </is>
      </c>
    </row>
    <row r="49">
      <c r="A49" t="n">
        <v>10</v>
      </c>
      <c r="B49" t="inlineStr">
        <is>
          <t>南區環保</t>
        </is>
      </c>
    </row>
    <row r="50">
      <c r="A50" t="n">
        <v>10</v>
      </c>
      <c r="B50" t="inlineStr">
        <is>
          <t>資源再生</t>
        </is>
      </c>
    </row>
    <row r="51">
      <c r="A51" t="n">
        <v>10</v>
      </c>
      <c r="B51" t="inlineStr">
        <is>
          <t>清運物流</t>
        </is>
      </c>
    </row>
    <row r="52">
      <c r="A52" t="n">
        <v>11</v>
      </c>
      <c r="B52" t="inlineStr">
        <is>
          <t>北區環保</t>
        </is>
      </c>
    </row>
    <row r="53">
      <c r="A53" t="n">
        <v>11</v>
      </c>
      <c r="B53" t="inlineStr">
        <is>
          <t>中區環保</t>
        </is>
      </c>
    </row>
    <row r="54">
      <c r="A54" t="n">
        <v>11</v>
      </c>
      <c r="B54" t="inlineStr">
        <is>
          <t>南區環保</t>
        </is>
      </c>
    </row>
    <row r="55">
      <c r="A55" t="n">
        <v>11</v>
      </c>
      <c r="B55" t="inlineStr">
        <is>
          <t>資源再生</t>
        </is>
      </c>
    </row>
    <row r="56">
      <c r="A56" t="n">
        <v>11</v>
      </c>
      <c r="B56" t="inlineStr">
        <is>
          <t>清運物流</t>
        </is>
      </c>
    </row>
    <row r="57">
      <c r="A57" t="n">
        <v>12</v>
      </c>
      <c r="B57" t="inlineStr">
        <is>
          <t>北區環保</t>
        </is>
      </c>
    </row>
    <row r="58">
      <c r="A58" t="n">
        <v>12</v>
      </c>
      <c r="B58" t="inlineStr">
        <is>
          <t>中區環保</t>
        </is>
      </c>
    </row>
    <row r="59">
      <c r="A59" t="n">
        <v>12</v>
      </c>
      <c r="B59" t="inlineStr">
        <is>
          <t>南區環保</t>
        </is>
      </c>
    </row>
    <row r="60">
      <c r="A60" t="n">
        <v>12</v>
      </c>
      <c r="B60" t="inlineStr">
        <is>
          <t>資源再生</t>
        </is>
      </c>
    </row>
    <row r="61">
      <c r="A61" t="n">
        <v>12</v>
      </c>
      <c r="B61" t="inlineStr">
        <is>
          <t>清運物流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福委會經費總表 填寫說明</t>
        </is>
      </c>
    </row>
    <row r="3">
      <c r="A3" t="inlineStr">
        <is>
          <t>一、資料來源：各子公司會計於每月 5 號前，將該公司當月福利金明細 Excel 寄送福委會窗口，福委會彙整後填入本總表對應月份列。</t>
        </is>
      </c>
    </row>
    <row r="4">
      <c r="A4" t="inlineStr">
        <is>
          <t>二、提撥公式：依規定提撥福利金 = 當月薪資總額 × 0.5% ＋ 當月營業收入 × 0.05%，四捨五入至元。</t>
        </is>
      </c>
    </row>
    <row r="5">
      <c r="A5" t="inlineStr">
        <is>
          <t>三、餘額算法：餘額 = 提撥金額－支出合計；累計餘額 = 上月累計餘額＋本月餘額，逐月累加。</t>
        </is>
      </c>
    </row>
    <row r="6">
      <c r="A6" t="inlineStr">
        <is>
          <t>四、重複欄位為歷任會計沿用，請勿刪除。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2026-09-20T13:22:11Z</dcterms:created>
  <dcterms:modified xmlns:dcterms="http://purl.org/dc/terms/" xmlns:xsi="http://www.w3.org/2001/XMLSchema-instance" xsi:type="dcterms:W3CDTF">2026-09-20T13:22:11Z</dcterms:modified>
</cp:coreProperties>
</file>