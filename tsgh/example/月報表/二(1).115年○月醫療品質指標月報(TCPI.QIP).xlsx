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01_外接式硬碟(備份)\●_劉小沛_1051117\02-08_病安｜教育訓練\實體課程\115年臺北市政府務生局(未來文)\案例\月報\"/>
    </mc:Choice>
  </mc:AlternateContent>
  <bookViews>
    <workbookView xWindow="360" yWindow="36" windowWidth="28032" windowHeight="11880"/>
  </bookViews>
  <sheets>
    <sheet name="TCPI_綜合照護" sheetId="1" r:id="rId1"/>
    <sheet name="TCPI_急性精神" sheetId="5" r:id="rId2"/>
    <sheet name="QIP" sheetId="4" r:id="rId3"/>
  </sheets>
  <definedNames>
    <definedName name="_xlnm._FilterDatabase" localSheetId="2" hidden="1">QIP!$A$3:$J$45</definedName>
    <definedName name="_xlnm._FilterDatabase" localSheetId="1" hidden="1">TCPI_急性精神!$A$4:$N$22</definedName>
    <definedName name="_xlnm._FilterDatabase" localSheetId="0" hidden="1">TCPI_綜合照護!$A$4:$N$142</definedName>
    <definedName name="_xlnm.Print_Titles" localSheetId="2">QIP!$1:$3</definedName>
    <definedName name="_xlnm.Print_Titles" localSheetId="1">TCPI_急性精神!$1:$4</definedName>
    <definedName name="_xlnm.Print_Titles" localSheetId="0">TCPI_綜合照護!$1:$4</definedName>
  </definedNames>
  <calcPr calcId="162913"/>
</workbook>
</file>

<file path=xl/calcChain.xml><?xml version="1.0" encoding="utf-8"?>
<calcChain xmlns="http://schemas.openxmlformats.org/spreadsheetml/2006/main">
  <c r="J45" i="4" l="1"/>
  <c r="J43" i="4"/>
  <c r="J42" i="4"/>
  <c r="J41" i="4"/>
  <c r="J40" i="4"/>
  <c r="J39" i="4"/>
  <c r="J38" i="4"/>
  <c r="J37" i="4"/>
  <c r="J36" i="4"/>
  <c r="J35" i="4"/>
  <c r="J34" i="4"/>
  <c r="J33" i="4"/>
  <c r="J32" i="4"/>
  <c r="J31" i="4"/>
  <c r="J30" i="4"/>
  <c r="J29" i="4"/>
  <c r="J28" i="4"/>
  <c r="J27" i="4"/>
  <c r="J26" i="4"/>
  <c r="J25" i="4"/>
  <c r="J24" i="4"/>
  <c r="J23" i="4"/>
  <c r="J22" i="4"/>
  <c r="J21" i="4"/>
  <c r="J19" i="4"/>
  <c r="J18" i="4"/>
  <c r="J17" i="4"/>
  <c r="J16" i="4"/>
  <c r="J15" i="4"/>
  <c r="J14" i="4"/>
  <c r="J13" i="4"/>
  <c r="J12" i="4"/>
  <c r="J11" i="4"/>
  <c r="J10" i="4"/>
  <c r="J9" i="4"/>
  <c r="J8" i="4"/>
  <c r="J7" i="4"/>
  <c r="J6" i="4"/>
  <c r="J5" i="4"/>
  <c r="J4" i="4"/>
</calcChain>
</file>

<file path=xl/sharedStrings.xml><?xml version="1.0" encoding="utf-8"?>
<sst xmlns="http://schemas.openxmlformats.org/spreadsheetml/2006/main" count="1632" uniqueCount="536">
  <si>
    <t>指標代碼</t>
  </si>
  <si>
    <t>指標名稱</t>
  </si>
  <si>
    <t>單位</t>
  </si>
  <si>
    <t>本院分子</t>
  </si>
  <si>
    <t>本院分母</t>
  </si>
  <si>
    <t>本院數值</t>
  </si>
  <si>
    <t>AMI-07</t>
  </si>
  <si>
    <t>%</t>
  </si>
  <si>
    <t>AMI-15</t>
  </si>
  <si>
    <t>‰</t>
  </si>
  <si>
    <t>CCU-BSI-02</t>
  </si>
  <si>
    <t>CCU-UTI-02</t>
  </si>
  <si>
    <t>CCU-VAP-02</t>
  </si>
  <si>
    <t>心臟科加護病房呼吸器使用</t>
  </si>
  <si>
    <t>ED-Los-06</t>
  </si>
  <si>
    <t>檢傷後停留時間≧48 小時(包含停留於留觀區時間)</t>
  </si>
  <si>
    <t>ED-UnR-01</t>
  </si>
  <si>
    <t>ED-UnR-02</t>
  </si>
  <si>
    <t>Hosp-Mort-02</t>
  </si>
  <si>
    <t>Hosp-UnR-01</t>
  </si>
  <si>
    <t>出院14天內因相同或相關病情非計畫性再住院</t>
  </si>
  <si>
    <t>ICU-Mort-01</t>
  </si>
  <si>
    <t>ICU-Mort-02</t>
  </si>
  <si>
    <t>加護病房死亡率 (不含病危自動出院)</t>
  </si>
  <si>
    <t>ICU-UnR-01</t>
  </si>
  <si>
    <t>Inpt-Fall-01</t>
  </si>
  <si>
    <t>一般病房住院跌倒</t>
  </si>
  <si>
    <t>Inpt-Fall-01a</t>
  </si>
  <si>
    <t>一般病房因病人健康狀況而跌倒</t>
  </si>
  <si>
    <t>Inpt-Fall-01b</t>
  </si>
  <si>
    <t>一般病房因治療/藥物及麻醉反應造成跌倒</t>
  </si>
  <si>
    <t>Inpt-Fall-01c</t>
  </si>
  <si>
    <t>一般病房因環境危險因子造成跌倒</t>
  </si>
  <si>
    <t>Inpt-Fall-01d</t>
  </si>
  <si>
    <t>一般病房因其他因素造成跌倒</t>
  </si>
  <si>
    <t>Inpt-Fall-03</t>
  </si>
  <si>
    <t>一般病房一般住院跌倒造成傷害</t>
  </si>
  <si>
    <t>Inpt-Fall-03a</t>
  </si>
  <si>
    <t>一般病房跌倒造成輕度傷害</t>
  </si>
  <si>
    <t>Inpt-Fall-03b</t>
  </si>
  <si>
    <t>一般病房跌倒造成中度傷害</t>
  </si>
  <si>
    <t>Inpt-Fall-03c</t>
  </si>
  <si>
    <t>一般病房跌倒造成極重度傷害</t>
  </si>
  <si>
    <t>Inpt-Fall-03e</t>
  </si>
  <si>
    <t>一般病房跌倒造成死亡</t>
  </si>
  <si>
    <t>Inpt-Fall-06</t>
  </si>
  <si>
    <t>一般病房重複跌倒比率</t>
  </si>
  <si>
    <t>Inpt-PU-02</t>
  </si>
  <si>
    <t>Inpt-PU-03</t>
  </si>
  <si>
    <t>Inpt-PU-04</t>
  </si>
  <si>
    <t>Inpt-PU-05</t>
  </si>
  <si>
    <t>Inpt-PU-06</t>
  </si>
  <si>
    <t>Inpt-PU-09</t>
  </si>
  <si>
    <t>Inpt-PU-10</t>
  </si>
  <si>
    <t>Inpt-Res-01</t>
  </si>
  <si>
    <t>一般病房身體約束事件</t>
  </si>
  <si>
    <t>Inpt-Res-01-a4</t>
  </si>
  <si>
    <t>Inpt-Res-01-c1</t>
  </si>
  <si>
    <t>一般病房因跌倒危險而使用身體約束</t>
  </si>
  <si>
    <t>MI-BSI-02</t>
  </si>
  <si>
    <t>MI-VAP-02</t>
  </si>
  <si>
    <t>內科加護病房呼吸器使用</t>
  </si>
  <si>
    <t>Neo-MortD-01</t>
  </si>
  <si>
    <t>直接入院新生兒(出生體重&lt;500公克)死亡率(含病危自動出院)</t>
  </si>
  <si>
    <t>Neo-MortD-02</t>
  </si>
  <si>
    <t>Neo-MortD-03</t>
  </si>
  <si>
    <t>Neo-MortD-04</t>
  </si>
  <si>
    <t>Neo-MortD-05</t>
  </si>
  <si>
    <t>Neo-MortD-06</t>
  </si>
  <si>
    <t>直接入院新生兒(1500公克≦出生體重≦1749公克)死亡率(含病危自動出院)</t>
  </si>
  <si>
    <t>Neo-MortD-07</t>
  </si>
  <si>
    <t>Neo-MortD-08</t>
  </si>
  <si>
    <t>直接入院新生兒(2000公克≦出生體重≦2499公克)死亡率(含病危自動出院)</t>
  </si>
  <si>
    <t>Neo-MortD-09</t>
  </si>
  <si>
    <t>直接入院新生兒(出生體重≧2500公克)死亡率(含病危自動出院)</t>
  </si>
  <si>
    <t>Neo-MortT-01</t>
  </si>
  <si>
    <t>他院轉入新生兒(出生體重＜500公克)死亡率(含病危自動出院)</t>
  </si>
  <si>
    <t>Neo-MortT-02</t>
  </si>
  <si>
    <t>他院轉入新生兒 (500公克≦出生體重≦749公克)死亡率(含病危自動出院)</t>
  </si>
  <si>
    <t>Neo-MortT-03</t>
  </si>
  <si>
    <t>他院轉入新生兒 (750公克≦出生體重≦999公克)死亡率(含病危自動出院)</t>
  </si>
  <si>
    <t>Neo-MortT-04</t>
  </si>
  <si>
    <t>他院轉入新生兒(1000公克≦出生體重≦1249公克)死亡率(含病危自動出院)</t>
  </si>
  <si>
    <t>Neo-MortT-05</t>
  </si>
  <si>
    <t>他院轉入新生兒(1250公克≦出生體重≦1499公克)死亡率(含病危自動出院)</t>
  </si>
  <si>
    <t>Neo-MortT-06</t>
  </si>
  <si>
    <t>他院轉入新生兒(1500公克≦出生體重≦1749公克)死亡率(含病危自動出院)</t>
  </si>
  <si>
    <t>Neo-MortT-07</t>
  </si>
  <si>
    <t>他院轉入新生兒 (1750公克≦出生體重≦1999公克)死亡率(含病危自動出院)</t>
  </si>
  <si>
    <t>Neo-MortT-08</t>
  </si>
  <si>
    <t>他院轉入新生兒(2000公克≦出生體重≦2499公克)死亡率(含病危自動出院)</t>
  </si>
  <si>
    <t>Neo-MortT-09</t>
  </si>
  <si>
    <t>Obs-01</t>
  </si>
  <si>
    <t>總剖腹產率</t>
  </si>
  <si>
    <t>Obs-02</t>
  </si>
  <si>
    <t>Obs-03</t>
  </si>
  <si>
    <t>再次剖腹產率</t>
  </si>
  <si>
    <t>Obs-04</t>
  </si>
  <si>
    <t>剖腹產後自然產比率</t>
  </si>
  <si>
    <t>Obs-05</t>
  </si>
  <si>
    <t>剖腹產後嘗試自然產成功率</t>
  </si>
  <si>
    <t>Obs-07</t>
  </si>
  <si>
    <t>Obs-09</t>
  </si>
  <si>
    <t>新生兒產傷發生率</t>
  </si>
  <si>
    <t>Ped-ED-03</t>
  </si>
  <si>
    <t>PI-BSI-02</t>
  </si>
  <si>
    <t>RCC-BSI-02</t>
  </si>
  <si>
    <t>RCC-Integ01</t>
  </si>
  <si>
    <t>亞急性呼吸照護病房呼吸器脫離成功率</t>
  </si>
  <si>
    <t>RCC-Integ04</t>
  </si>
  <si>
    <t>亞急性呼吸照護病房氣切比率</t>
  </si>
  <si>
    <t>RCC-UTI-02</t>
  </si>
  <si>
    <t>RCC-VAP-02</t>
  </si>
  <si>
    <t>亞急性呼吸照護病房呼吸器使用</t>
  </si>
  <si>
    <t>SC-AntiP-01b</t>
  </si>
  <si>
    <t>髖關節置換術病人手術部位感染</t>
  </si>
  <si>
    <t>膝關節置換術病人手術部位感染</t>
  </si>
  <si>
    <t>Sc-Mort-01</t>
  </si>
  <si>
    <t>Sc-Mort-02</t>
  </si>
  <si>
    <t>所有手術術後48小時內死亡率(不含病危自動出院)</t>
  </si>
  <si>
    <t>Sc-UnR-01</t>
  </si>
  <si>
    <t>所有手術病人住院期間非計畫相關重返手術室</t>
  </si>
  <si>
    <t>SI-BSI-02</t>
  </si>
  <si>
    <t>SI-UTI-02</t>
  </si>
  <si>
    <t>SI-VAP-02</t>
  </si>
  <si>
    <t>外科加護病房呼吸器使用</t>
  </si>
  <si>
    <t>急性缺血性中風接受靜脈血栓溶解劑(IV-tPA)治療</t>
  </si>
  <si>
    <t>急性缺血性中風抵達急診60分鐘(含)內接受靜脈血栓溶解劑(IV-tPA)治療</t>
  </si>
  <si>
    <t>STK-05</t>
  </si>
  <si>
    <t>提報單位</t>
    <phoneticPr fontId="1" type="noConversion"/>
  </si>
  <si>
    <t>主責單位</t>
    <phoneticPr fontId="1" type="noConversion"/>
  </si>
  <si>
    <t>心臟內科</t>
  </si>
  <si>
    <t>內科醫品會</t>
  </si>
  <si>
    <t>急加會</t>
  </si>
  <si>
    <t>急診照護</t>
  </si>
  <si>
    <t>急診醫學部</t>
  </si>
  <si>
    <t>病歷室</t>
  </si>
  <si>
    <t>住審會</t>
  </si>
  <si>
    <t>醫勤室</t>
  </si>
  <si>
    <t>護理部</t>
  </si>
  <si>
    <t>加護中心</t>
  </si>
  <si>
    <t>護品會</t>
  </si>
  <si>
    <t>小兒部</t>
  </si>
  <si>
    <t>產科照護</t>
  </si>
  <si>
    <t>婦產部</t>
  </si>
  <si>
    <t>外科醫品會</t>
  </si>
  <si>
    <t>RCC</t>
  </si>
  <si>
    <t>手術室</t>
  </si>
  <si>
    <t>手術醫品會</t>
  </si>
  <si>
    <t>骨科部</t>
  </si>
  <si>
    <t>心臟外科</t>
  </si>
  <si>
    <t>神經科部</t>
  </si>
  <si>
    <t>重點照護_急性心肌梗塞照護</t>
    <phoneticPr fontId="1" type="noConversion"/>
  </si>
  <si>
    <t>正向</t>
  </si>
  <si>
    <t>負向</t>
  </si>
  <si>
    <t>參考指標</t>
  </si>
  <si>
    <t>兒科照護</t>
    <phoneticPr fontId="1" type="noConversion"/>
  </si>
  <si>
    <t>亞急性呼吸照護病房指標</t>
    <phoneticPr fontId="1" type="noConversion"/>
  </si>
  <si>
    <t>手術照護指標</t>
    <phoneticPr fontId="1" type="noConversion"/>
  </si>
  <si>
    <t>類別</t>
    <phoneticPr fontId="1" type="noConversion"/>
  </si>
  <si>
    <t>正負向</t>
    <phoneticPr fontId="1" type="noConversion"/>
  </si>
  <si>
    <t>外科加護病房中心導管使用</t>
    <phoneticPr fontId="1" type="noConversion"/>
  </si>
  <si>
    <t>ED-Los-05</t>
    <phoneticPr fontId="1" type="noConversion"/>
  </si>
  <si>
    <t>24小時內相關性急診返診</t>
    <phoneticPr fontId="1" type="noConversion"/>
  </si>
  <si>
    <t>兒童加護病房中心導管相關血流感染(CLABSI)</t>
    <phoneticPr fontId="1" type="noConversion"/>
  </si>
  <si>
    <t>直接入院新生兒(1000公克≦出生體重≦1249公克)死亡率(含病危自動出院)</t>
    <phoneticPr fontId="1" type="noConversion"/>
  </si>
  <si>
    <t>直接入院新生兒(1250公克≦出生體重≦1499公克)死亡率(含病危自動出院)</t>
    <phoneticPr fontId="1" type="noConversion"/>
  </si>
  <si>
    <t>外科加護病房留置導尿管使用</t>
    <phoneticPr fontId="1" type="noConversion"/>
  </si>
  <si>
    <t>MI-BSI-04</t>
  </si>
  <si>
    <t>MI-UTI-03</t>
  </si>
  <si>
    <t>MI-VAP-04</t>
  </si>
  <si>
    <t>SI-BSI-04</t>
  </si>
  <si>
    <t>SI-UTI-03</t>
  </si>
  <si>
    <t>SI-VAP-04</t>
  </si>
  <si>
    <t>CCU-UTI-03</t>
  </si>
  <si>
    <t>SC-Infe-18</t>
  </si>
  <si>
    <t>SC-Infe-21</t>
  </si>
  <si>
    <t>SC-Infe-19</t>
    <phoneticPr fontId="1" type="noConversion"/>
  </si>
  <si>
    <t>SC-Infe-20</t>
    <phoneticPr fontId="1" type="noConversion"/>
  </si>
  <si>
    <t>RCC-BSI-04</t>
    <phoneticPr fontId="1" type="noConversion"/>
  </si>
  <si>
    <t>PI-BSI-03</t>
    <phoneticPr fontId="1" type="noConversion"/>
  </si>
  <si>
    <t>所有手術術後48小時內死亡率(含病危自動出院)</t>
    <phoneticPr fontId="1" type="noConversion"/>
  </si>
  <si>
    <t>正負向</t>
    <phoneticPr fontId="7" type="noConversion"/>
  </si>
  <si>
    <t>備註</t>
    <phoneticPr fontId="7" type="noConversion"/>
  </si>
  <si>
    <t>分子</t>
  </si>
  <si>
    <t>分母</t>
  </si>
  <si>
    <t>數值</t>
  </si>
  <si>
    <t>整體綜合急性照護指標</t>
    <phoneticPr fontId="7" type="noConversion"/>
  </si>
  <si>
    <t>住院死亡率</t>
  </si>
  <si>
    <t>HA01-02</t>
  </si>
  <si>
    <t>出院14天內因相同或相關病情非計畫性再住院率</t>
  </si>
  <si>
    <t>加護病房照護指標</t>
    <phoneticPr fontId="7" type="noConversion"/>
  </si>
  <si>
    <t>HA02-01</t>
  </si>
  <si>
    <t>48小時(含)內加護病房重返率</t>
    <phoneticPr fontId="7" type="noConversion"/>
  </si>
  <si>
    <t>加護病房死亡率</t>
  </si>
  <si>
    <t>HA02-11</t>
  </si>
  <si>
    <t>加護病房呼吸器相關肺炎</t>
  </si>
  <si>
    <t>HA02-12</t>
  </si>
  <si>
    <t>加護病房留置導尿管相關尿路感染</t>
  </si>
  <si>
    <t>手術照護指標</t>
    <phoneticPr fontId="7" type="noConversion"/>
  </si>
  <si>
    <t>HA03-01</t>
  </si>
  <si>
    <t>手術後48小時內死亡率</t>
  </si>
  <si>
    <t>HA03-02</t>
  </si>
  <si>
    <t>HA03-03</t>
  </si>
  <si>
    <t>所有住院病人手術部位感染</t>
  </si>
  <si>
    <t>HA03-04</t>
  </si>
  <si>
    <t>預防性抗生素在劃刀前1小時內給予比率</t>
  </si>
  <si>
    <t>產科照護指標</t>
    <phoneticPr fontId="7" type="noConversion"/>
  </si>
  <si>
    <t>HA04-01</t>
  </si>
  <si>
    <t>HA04-02</t>
  </si>
  <si>
    <t>初次剖腹產率</t>
  </si>
  <si>
    <t>急診照護指標</t>
    <phoneticPr fontId="7" type="noConversion"/>
  </si>
  <si>
    <t>HA05-01</t>
  </si>
  <si>
    <t>急診轉住院比率</t>
  </si>
  <si>
    <t>HA05-02</t>
  </si>
  <si>
    <t>HA05-03</t>
  </si>
  <si>
    <t>重點照護指標</t>
    <phoneticPr fontId="7" type="noConversion"/>
  </si>
  <si>
    <t>HA06-01</t>
  </si>
  <si>
    <t>全院腹膜透析病人比率</t>
  </si>
  <si>
    <t>HA06-11</t>
  </si>
  <si>
    <t>急性心肌梗塞-STEMI到急診90分鐘內施予直接經皮冠狀介入術比率</t>
  </si>
  <si>
    <t>HA06-13</t>
  </si>
  <si>
    <t>急性心肌梗塞住院中死亡率(含病危自動出院)</t>
  </si>
  <si>
    <t>HA06-21</t>
  </si>
  <si>
    <t>HA06-23</t>
  </si>
  <si>
    <t>HA06-24</t>
  </si>
  <si>
    <t>急性缺血性腦中風病人接受靜脈血栓溶解劑(IV-tPA)治療，發生症狀性腦出血比率</t>
  </si>
  <si>
    <t>HA06-25</t>
  </si>
  <si>
    <t>急性缺血性中風發作2小時（含）內抵達急診，且在發作3小時（含）內施打靜脈血栓溶解劑（IV-tPA）</t>
  </si>
  <si>
    <t>HA06-31</t>
  </si>
  <si>
    <t>安寧緩和共同照護個案數</t>
  </si>
  <si>
    <t>一般</t>
  </si>
  <si>
    <t>感染管制</t>
    <phoneticPr fontId="7" type="noConversion"/>
  </si>
  <si>
    <t>HA07-01</t>
  </si>
  <si>
    <t>用藥安全</t>
    <phoneticPr fontId="7" type="noConversion"/>
  </si>
  <si>
    <t>HA08-01</t>
  </si>
  <si>
    <t>藥物不良反應通報件數</t>
  </si>
  <si>
    <t>吸呼照護</t>
    <phoneticPr fontId="7" type="noConversion"/>
  </si>
  <si>
    <t>HA09-01</t>
  </si>
  <si>
    <t>亞急性呼吸照護病房中心導管相關血流感染</t>
    <phoneticPr fontId="7" type="noConversion"/>
  </si>
  <si>
    <t>HA09-02</t>
  </si>
  <si>
    <t>亞急性呼吸照護病房呼吸器相關肺炎</t>
  </si>
  <si>
    <t>HA09-03</t>
  </si>
  <si>
    <t>亞急性呼吸照護病房留置導尿管相關尿路感染</t>
  </si>
  <si>
    <t>HA09-04</t>
  </si>
  <si>
    <t>HA09-05</t>
  </si>
  <si>
    <t>HA09-11</t>
  </si>
  <si>
    <t>HA09-12</t>
  </si>
  <si>
    <t>HA09-13</t>
  </si>
  <si>
    <t>HA09-14</t>
  </si>
  <si>
    <t>經營管理</t>
    <phoneticPr fontId="7" type="noConversion"/>
  </si>
  <si>
    <t>HA10-01</t>
  </si>
  <si>
    <t>異常事件通報件數</t>
  </si>
  <si>
    <t>HA10-02</t>
  </si>
  <si>
    <t>醫院員工遭受暴力事件數</t>
  </si>
  <si>
    <t>HA10-03</t>
  </si>
  <si>
    <t>醫院員工發生職業災害件數</t>
  </si>
  <si>
    <t>HA10-04</t>
  </si>
  <si>
    <t>急性一般病床開放率</t>
  </si>
  <si>
    <t>HA10-09</t>
  </si>
  <si>
    <t>急性一般病床全日平均護病比（不包含護理長、專科護理師、實習護士）</t>
  </si>
  <si>
    <t>72小時內相關性急診返診</t>
    <phoneticPr fontId="1" type="noConversion"/>
  </si>
  <si>
    <t>心臟科加護病房留置導尿管使用</t>
    <phoneticPr fontId="1" type="noConversion"/>
  </si>
  <si>
    <t xml:space="preserve">穩定 </t>
  </si>
  <si>
    <t>閾值</t>
    <phoneticPr fontId="1" type="noConversion"/>
  </si>
  <si>
    <t>---</t>
  </si>
  <si>
    <t/>
  </si>
  <si>
    <t>外科加護病房留置導尿管相關尿路感染(CAUTI)</t>
    <phoneticPr fontId="1" type="noConversion"/>
  </si>
  <si>
    <t>SPC圖</t>
    <phoneticPr fontId="1" type="noConversion"/>
  </si>
  <si>
    <t>‰</t>
    <phoneticPr fontId="1" type="noConversion"/>
  </si>
  <si>
    <t>%</t>
    <phoneticPr fontId="1" type="noConversion"/>
  </si>
  <si>
    <t>HA01-03</t>
    <phoneticPr fontId="1" type="noConversion"/>
  </si>
  <si>
    <t>指標代碼</t>
    <phoneticPr fontId="1" type="noConversion"/>
  </si>
  <si>
    <t>參考指標</t>
    <phoneticPr fontId="1" type="noConversion"/>
  </si>
  <si>
    <t>RCC-Integ02</t>
  </si>
  <si>
    <t>亞急性呼吸照護病房未成功脫離呼吸器回轉ICU比率</t>
  </si>
  <si>
    <t>RCC-Integ03</t>
  </si>
  <si>
    <t>亞急性呼吸照護病房未成功脫離呼吸器下轉比率</t>
  </si>
  <si>
    <t>RCC-UTI-03</t>
  </si>
  <si>
    <t>RCC-VAP-04</t>
  </si>
  <si>
    <t>RCC-UE-01</t>
  </si>
  <si>
    <t>亞急性呼吸照護病房非計畫性的中心導管滑脫事件</t>
  </si>
  <si>
    <t>RCC-UE-02</t>
  </si>
  <si>
    <t>Inpt-PU-01</t>
  </si>
  <si>
    <t>一般病房壓力性損傷</t>
  </si>
  <si>
    <t>Inpt-PU-01a</t>
  </si>
  <si>
    <t>一般病房薦骨處壓力性損傷</t>
  </si>
  <si>
    <t>Inpt-PU-01b</t>
  </si>
  <si>
    <t>一般病房坐骨處壓力性損傷</t>
  </si>
  <si>
    <t>Inpt-PU-01c</t>
  </si>
  <si>
    <t>一般病房股骨粗隆處壓力性損傷</t>
  </si>
  <si>
    <t>Inpt-PU-01d</t>
  </si>
  <si>
    <t>一般病房跟骨處壓力性損傷</t>
  </si>
  <si>
    <t>Inpt-PU-01e</t>
  </si>
  <si>
    <t>一般病房足踝處壓力性損傷</t>
  </si>
  <si>
    <t>Inpt-PU-01f</t>
  </si>
  <si>
    <t>一般病房肩胛骨處壓力性損傷</t>
  </si>
  <si>
    <t>Inpt-PU-01g</t>
  </si>
  <si>
    <t>一般病房枕骨處壓力性損傷</t>
  </si>
  <si>
    <t>Inpt-PU-01i</t>
  </si>
  <si>
    <t>一般病房其他部位壓力性損傷</t>
  </si>
  <si>
    <t>慢性呼吸照護病房中心導管相關血流感染</t>
    <phoneticPr fontId="1" type="noConversion"/>
  </si>
  <si>
    <t>%</t>
    <phoneticPr fontId="1" type="noConversion"/>
  </si>
  <si>
    <t>HA02-13</t>
    <phoneticPr fontId="1" type="noConversion"/>
  </si>
  <si>
    <t>加護病房中心導管相關血流感染</t>
    <phoneticPr fontId="1" type="noConversion"/>
  </si>
  <si>
    <t>參考指標</t>
    <phoneticPr fontId="1" type="noConversion"/>
  </si>
  <si>
    <t>參考指標</t>
    <phoneticPr fontId="1" type="noConversion"/>
  </si>
  <si>
    <t>AMI-24</t>
  </si>
  <si>
    <t>HA06-32</t>
    <phoneticPr fontId="1" type="noConversion"/>
  </si>
  <si>
    <t>急性心肌梗塞出院時給予乙型阻斷劑比率</t>
  </si>
  <si>
    <t>冠狀動脈繞道手術病人手術部位感染</t>
    <phoneticPr fontId="1" type="noConversion"/>
  </si>
  <si>
    <t>直接入院新生兒 (500公克≦出生體重≦749公克)死亡率(含病危自動出院)</t>
    <phoneticPr fontId="1" type="noConversion"/>
  </si>
  <si>
    <t>住院死亡率（不含病危自動出院）</t>
    <phoneticPr fontId="1" type="noConversion"/>
  </si>
  <si>
    <t>心臟科加護病房中心導管使用</t>
    <phoneticPr fontId="1" type="noConversion"/>
  </si>
  <si>
    <t>‰</t>
    <phoneticPr fontId="1" type="noConversion"/>
  </si>
  <si>
    <t>‰</t>
    <phoneticPr fontId="1" type="noConversion"/>
  </si>
  <si>
    <t>Neuro-BSI-04</t>
    <phoneticPr fontId="1" type="noConversion"/>
  </si>
  <si>
    <t>Neuro-BSI-02</t>
    <phoneticPr fontId="1" type="noConversion"/>
  </si>
  <si>
    <t>Neuro-UTI-03</t>
    <phoneticPr fontId="1" type="noConversion"/>
  </si>
  <si>
    <t>Neuro-UTI-02</t>
    <phoneticPr fontId="1" type="noConversion"/>
  </si>
  <si>
    <t>Neuro-VAP-04</t>
    <phoneticPr fontId="1" type="noConversion"/>
  </si>
  <si>
    <t>神經加護病房中心導管使用</t>
    <phoneticPr fontId="1" type="noConversion"/>
  </si>
  <si>
    <t>神經加護病房留置導尿管使用</t>
    <phoneticPr fontId="1" type="noConversion"/>
  </si>
  <si>
    <r>
      <t xml:space="preserve">心臟科加護病房指標
</t>
    </r>
    <r>
      <rPr>
        <sz val="14"/>
        <color theme="1"/>
        <rFont val="微軟正黑體"/>
        <family val="2"/>
        <charset val="136"/>
      </rPr>
      <t>(含CICU、HSICU)</t>
    </r>
    <phoneticPr fontId="1" type="noConversion"/>
  </si>
  <si>
    <t>住審會</t>
    <phoneticPr fontId="1" type="noConversion"/>
  </si>
  <si>
    <t>整體綜合急性照護指標</t>
    <phoneticPr fontId="1" type="noConversion"/>
  </si>
  <si>
    <t>負向</t>
    <phoneticPr fontId="1" type="noConversion"/>
  </si>
  <si>
    <t>一般病房跌倒造成重度傷害</t>
    <phoneticPr fontId="1" type="noConversion"/>
  </si>
  <si>
    <t>亞急性呼吸照護病房中心導管相關血流感染(CLABSI)</t>
    <phoneticPr fontId="1" type="noConversion"/>
  </si>
  <si>
    <t>亞急性呼吸照護病房呼吸器相關肺炎(VAP)</t>
    <phoneticPr fontId="1" type="noConversion"/>
  </si>
  <si>
    <t>直接入院新生兒 (1750公克≦出生體重≦1999公克)死亡率(含病危自動出院)</t>
    <phoneticPr fontId="1" type="noConversion"/>
  </si>
  <si>
    <t>初次剖腹產率</t>
    <phoneticPr fontId="1" type="noConversion"/>
  </si>
  <si>
    <t>內科加護病房中心導管使用</t>
    <phoneticPr fontId="1" type="noConversion"/>
  </si>
  <si>
    <t>內科加護病房留置導尿管使用</t>
    <phoneticPr fontId="1" type="noConversion"/>
  </si>
  <si>
    <t>慢性呼吸照護病房留置導尿管相關尿路感染</t>
    <phoneticPr fontId="1" type="noConversion"/>
  </si>
  <si>
    <t>亞急性呼吸照護病房中心導管使用</t>
    <phoneticPr fontId="1" type="noConversion"/>
  </si>
  <si>
    <t>急性病床住院案件住院日數超過三十日比率</t>
    <phoneticPr fontId="7" type="noConversion"/>
  </si>
  <si>
    <t>心臟科加護病房留置導尿管相關尿路感染(CAUTI)</t>
    <phoneticPr fontId="1" type="noConversion"/>
  </si>
  <si>
    <t>急診病人未完成治療即離開比率</t>
    <phoneticPr fontId="1" type="noConversion"/>
  </si>
  <si>
    <r>
      <t xml:space="preserve">外科加護病房指標
</t>
    </r>
    <r>
      <rPr>
        <sz val="14"/>
        <color theme="1"/>
        <rFont val="微軟正黑體"/>
        <family val="2"/>
        <charset val="136"/>
      </rPr>
      <t>(含SICU、GICU、BCICU)</t>
    </r>
    <phoneticPr fontId="1" type="noConversion"/>
  </si>
  <si>
    <r>
      <t xml:space="preserve">神經加護病房指標
</t>
    </r>
    <r>
      <rPr>
        <sz val="14"/>
        <color theme="1"/>
        <rFont val="微軟正黑體"/>
        <family val="2"/>
        <charset val="136"/>
      </rPr>
      <t>(含NICU、SNICU)</t>
    </r>
    <phoneticPr fontId="1" type="noConversion"/>
  </si>
  <si>
    <t>直接入院新生兒 (750公克≦出生體重≦999公克)死亡率(含病危自動出院)</t>
    <phoneticPr fontId="1" type="noConversion"/>
  </si>
  <si>
    <t>所有住院手術病人手術部位感染</t>
    <phoneticPr fontId="1" type="noConversion"/>
  </si>
  <si>
    <t>手術醫品會</t>
    <phoneticPr fontId="1" type="noConversion"/>
  </si>
  <si>
    <t>亞急性呼吸照護病房留置導尿管使用</t>
    <phoneticPr fontId="1" type="noConversion"/>
  </si>
  <si>
    <t>他院轉入新生兒(出生體重≧2500公克)死亡率(含病危自動出院)</t>
    <phoneticPr fontId="1" type="noConversion"/>
  </si>
  <si>
    <t>醫療照護相關感染</t>
    <phoneticPr fontId="1" type="noConversion"/>
  </si>
  <si>
    <t>一般病房身體約束時間&gt;24小時</t>
    <phoneticPr fontId="1" type="noConversion"/>
  </si>
  <si>
    <t>加護病房整體性指標</t>
    <phoneticPr fontId="1" type="noConversion"/>
  </si>
  <si>
    <r>
      <t xml:space="preserve">內科加護病房指標
</t>
    </r>
    <r>
      <rPr>
        <sz val="14"/>
        <color theme="1"/>
        <rFont val="微軟正黑體"/>
        <family val="2"/>
        <charset val="136"/>
      </rPr>
      <t>(含MICU、MICU2、INFICU)</t>
    </r>
    <phoneticPr fontId="1" type="noConversion"/>
  </si>
  <si>
    <t>心臟科加護病房中心導管相關血流感染(CLABSI)</t>
    <phoneticPr fontId="1" type="noConversion"/>
  </si>
  <si>
    <t>CCU-BSI-04</t>
    <phoneticPr fontId="1" type="noConversion"/>
  </si>
  <si>
    <t>ICU-UnR-03</t>
  </si>
  <si>
    <t>MI-UTI-02</t>
  </si>
  <si>
    <t>內科加護病房留置導尿管相關尿路感染(CAUTI)</t>
    <phoneticPr fontId="1" type="noConversion"/>
  </si>
  <si>
    <t>所有接受預防性抗生素的手術病人在劃刀前60分鐘內接受預防性抗生素</t>
    <phoneticPr fontId="1" type="noConversion"/>
  </si>
  <si>
    <t>外科加護病房中心導管相關血流感染(CLABSI)</t>
    <phoneticPr fontId="1" type="noConversion"/>
  </si>
  <si>
    <t>非計畫性重返加護病房</t>
    <phoneticPr fontId="1" type="noConversion"/>
  </si>
  <si>
    <t>內科加護病房中心導管相關血流感染(CLABSI)</t>
    <phoneticPr fontId="1" type="noConversion"/>
  </si>
  <si>
    <t>外科加護病房呼吸器相關肺炎(VAP)</t>
    <phoneticPr fontId="1" type="noConversion"/>
  </si>
  <si>
    <t>檢傷後停留時間≧24 小時(包含停留於留觀區時間)</t>
    <phoneticPr fontId="1" type="noConversion"/>
  </si>
  <si>
    <t>緊急重大外傷手術於30分鐘內進入開刀房比率</t>
    <phoneticPr fontId="1" type="noConversion"/>
  </si>
  <si>
    <t>參考指標</t>
    <phoneticPr fontId="1" type="noConversion"/>
  </si>
  <si>
    <t>提報單位</t>
    <phoneticPr fontId="1" type="noConversion"/>
  </si>
  <si>
    <t>主責單位</t>
    <phoneticPr fontId="1" type="noConversion"/>
  </si>
  <si>
    <t>正負向</t>
    <phoneticPr fontId="1" type="noConversion"/>
  </si>
  <si>
    <t>SPC圖</t>
    <phoneticPr fontId="1" type="noConversion"/>
  </si>
  <si>
    <t>有紀錄的跌倒</t>
    <phoneticPr fontId="1" type="noConversion"/>
  </si>
  <si>
    <t>PSYA-Fall-01</t>
  </si>
  <si>
    <t>有記錄的跌倒</t>
    <phoneticPr fontId="1" type="noConversion"/>
  </si>
  <si>
    <t>精神醫學部</t>
    <phoneticPr fontId="1" type="noConversion"/>
  </si>
  <si>
    <t>負向</t>
    <phoneticPr fontId="1" type="noConversion"/>
  </si>
  <si>
    <t>PSYA-Fall-01a</t>
  </si>
  <si>
    <t>因病人健康狀況而造成跌倒</t>
  </si>
  <si>
    <t>參考指標</t>
    <phoneticPr fontId="1" type="noConversion"/>
  </si>
  <si>
    <t>PSYA-Fall-01b</t>
  </si>
  <si>
    <t>因藥物反應而造成跌倒</t>
  </si>
  <si>
    <t>PSYA-Fall-01c</t>
  </si>
  <si>
    <t>因環境中危險因子而造成跌倒</t>
  </si>
  <si>
    <t>PSYA-Fall-01d</t>
  </si>
  <si>
    <t>因其他因素而造成跌倒</t>
  </si>
  <si>
    <t>PSYA-Fall-02</t>
  </si>
  <si>
    <t>跌倒造成之傷害</t>
  </si>
  <si>
    <t>PSYA-Fall-02a</t>
  </si>
  <si>
    <t>跌倒造成輕度傷害</t>
  </si>
  <si>
    <t>PSYA-Fall-02b</t>
  </si>
  <si>
    <t>跌倒造成中度傷害</t>
  </si>
  <si>
    <t>PSYA-Fall-02c</t>
  </si>
  <si>
    <t>跌倒造成重度傷害</t>
    <phoneticPr fontId="1" type="noConversion"/>
  </si>
  <si>
    <t>PSYA-Fall-02d</t>
  </si>
  <si>
    <t>跌倒造成極重度傷害</t>
  </si>
  <si>
    <t>PSYA-Fall-02e</t>
  </si>
  <si>
    <t>跌倒造成死亡</t>
  </si>
  <si>
    <t>傷害行為</t>
    <phoneticPr fontId="1" type="noConversion"/>
  </si>
  <si>
    <t>PSYA-Inj-01</t>
  </si>
  <si>
    <t>PSYA-Inj-02</t>
  </si>
  <si>
    <t>精神科病人身體攻擊事件</t>
    <phoneticPr fontId="1" type="noConversion"/>
  </si>
  <si>
    <t>PSYA-Inj-03</t>
  </si>
  <si>
    <t>精神科病人企圖自殺事件</t>
  </si>
  <si>
    <t>PSYA-Inj-04</t>
  </si>
  <si>
    <t>精神科病人自殺死亡事件</t>
  </si>
  <si>
    <t>非自願性身體約束</t>
    <phoneticPr fontId="1" type="noConversion"/>
  </si>
  <si>
    <t>PSYA-Res-01</t>
  </si>
  <si>
    <t>非自願性約束事件</t>
  </si>
  <si>
    <t>隔離的使用</t>
    <phoneticPr fontId="1" type="noConversion"/>
  </si>
  <si>
    <t>PSYA-Sec-01</t>
  </si>
  <si>
    <t>非自願性隔離事件</t>
  </si>
  <si>
    <t>PSYA-UnD-01b</t>
  </si>
  <si>
    <t>因為私自離院導致的非計畫離院</t>
  </si>
  <si>
    <t>非計畫性離院導致出 院</t>
  </si>
  <si>
    <t>神經加護病房中心導管相關血流感染(CLABSI)</t>
    <phoneticPr fontId="1" type="noConversion"/>
  </si>
  <si>
    <t>神經加護病房呼吸器相關肺炎(VAP)</t>
    <phoneticPr fontId="1" type="noConversion"/>
  </si>
  <si>
    <t>所有手術病人住院期間非計畫相關重返手術室</t>
    <phoneticPr fontId="1" type="noConversion"/>
  </si>
  <si>
    <t>總剖腹產率</t>
    <phoneticPr fontId="1" type="noConversion"/>
  </si>
  <si>
    <t>CCU-VAP-04</t>
    <phoneticPr fontId="1" type="noConversion"/>
  </si>
  <si>
    <t>48小時(含)內非計畫性重返加護病房(以轉出人次為分母)</t>
    <phoneticPr fontId="1" type="noConversion"/>
  </si>
  <si>
    <t>Hosp-Mort-01</t>
    <phoneticPr fontId="1" type="noConversion"/>
  </si>
  <si>
    <t>Inpt-Fall-03d</t>
    <phoneticPr fontId="1" type="noConversion"/>
  </si>
  <si>
    <t>HA01-01</t>
    <phoneticPr fontId="1" type="noConversion"/>
  </si>
  <si>
    <t>類別</t>
    <phoneticPr fontId="7" type="noConversion"/>
  </si>
  <si>
    <t>指標代碼</t>
    <phoneticPr fontId="1" type="noConversion"/>
  </si>
  <si>
    <t>神經加護病房留置導尿管相關尿路感染(CAUTI)</t>
    <phoneticPr fontId="1" type="noConversion"/>
  </si>
  <si>
    <t>病歷室</t>
    <phoneticPr fontId="1" type="noConversion"/>
  </si>
  <si>
    <t>HA02-02</t>
    <phoneticPr fontId="1" type="noConversion"/>
  </si>
  <si>
    <t>內科加護病房呼吸器相關肺炎(VAP)</t>
    <phoneticPr fontId="1" type="noConversion"/>
  </si>
  <si>
    <t>產程中會陰四度裂傷發生率</t>
    <phoneticPr fontId="1" type="noConversion"/>
  </si>
  <si>
    <t>慢性呼吸照護病房呼吸器相關肺炎</t>
    <phoneticPr fontId="1" type="noConversion"/>
  </si>
  <si>
    <t>住院死亡率 (含病危自動出院)</t>
    <phoneticPr fontId="1" type="noConversion"/>
  </si>
  <si>
    <t>ED-Leav-01</t>
    <phoneticPr fontId="1" type="noConversion"/>
  </si>
  <si>
    <t>慢性呼吸照護病房呼吸器脫離成功率</t>
    <phoneticPr fontId="1" type="noConversion"/>
  </si>
  <si>
    <t>一般病房壓力性損傷點盛行率</t>
    <phoneticPr fontId="1" type="noConversion"/>
  </si>
  <si>
    <t>一般病房第一級壓力性損傷點盛行率</t>
    <phoneticPr fontId="1" type="noConversion"/>
  </si>
  <si>
    <t>一般病房第二級壓力性損傷點盛行率</t>
    <phoneticPr fontId="1" type="noConversion"/>
  </si>
  <si>
    <t>一般病房第三級壓力性損傷點盛行率</t>
    <phoneticPr fontId="1" type="noConversion"/>
  </si>
  <si>
    <t>一般病房第四級壓力性損傷點盛行率</t>
    <phoneticPr fontId="1" type="noConversion"/>
  </si>
  <si>
    <t>一般病房無法分級壓力性損傷點盛行率</t>
    <phoneticPr fontId="1" type="noConversion"/>
  </si>
  <si>
    <t>一般病房疑似深層組織損傷壓力性損傷點盛行率</t>
    <phoneticPr fontId="1" type="noConversion"/>
  </si>
  <si>
    <t>閾值
(紅燈)</t>
    <phoneticPr fontId="1" type="noConversion"/>
  </si>
  <si>
    <t>目標值
(黃燈)</t>
    <phoneticPr fontId="1" type="noConversion"/>
  </si>
  <si>
    <t>燈號</t>
    <phoneticPr fontId="1" type="noConversion"/>
  </si>
  <si>
    <t>紅燈(超過閾值)</t>
  </si>
  <si>
    <t xml:space="preserve">穩定 </t>
    <phoneticPr fontId="1" type="noConversion"/>
  </si>
  <si>
    <t>穩定</t>
    <phoneticPr fontId="1" type="noConversion"/>
  </si>
  <si>
    <t>STEMI到急診90分鐘內施予直接經皮冠狀動脈介入術比率</t>
  </si>
  <si>
    <t>AMI-01</t>
    <phoneticPr fontId="1" type="noConversion"/>
  </si>
  <si>
    <t>到急診10分鐘內完成ECG</t>
  </si>
  <si>
    <t>AMI-12</t>
  </si>
  <si>
    <t>出院給予雙重血小板抑制劑治療處方(阿斯匹靈+ADP受體拮抗劑)</t>
  </si>
  <si>
    <t>出院時給予乙型阻斷劑</t>
  </si>
  <si>
    <t>AMI-28</t>
  </si>
  <si>
    <t>AMI病人接受復健評估</t>
  </si>
  <si>
    <t>AMI-30</t>
  </si>
  <si>
    <t>出院主診斷為NSTEMI病人到院6小時内有接受心肌酶檢測比率</t>
  </si>
  <si>
    <t>AMI-32</t>
  </si>
  <si>
    <t>出院給予降LDL-C藥物</t>
  </si>
  <si>
    <t>STK-08</t>
  </si>
  <si>
    <t>STK-09</t>
  </si>
  <si>
    <t>STK-10</t>
  </si>
  <si>
    <t>急性中風病人到院後第一次由口進食前接受吞嚥困難篩檢</t>
  </si>
  <si>
    <t>STK-18</t>
  </si>
  <si>
    <t>STK-25</t>
  </si>
  <si>
    <t>MI-UE-02</t>
  </si>
  <si>
    <t>內科加護病房非計畫性的氣管內管滑脫事件</t>
  </si>
  <si>
    <t>SI-UE-02</t>
  </si>
  <si>
    <t>CCU-UE-02</t>
  </si>
  <si>
    <t>心臟加護病房非計畫性的氣管內管滑脫事件</t>
  </si>
  <si>
    <t>Neuro-VAP-02</t>
  </si>
  <si>
    <t>神經加護病房呼吸器使用</t>
  </si>
  <si>
    <t>Neuro-UE-02</t>
  </si>
  <si>
    <t>神經加護病房非計畫性的氣管內管滑脫事件</t>
  </si>
  <si>
    <t>兒童加護病房中心導管使用</t>
  </si>
  <si>
    <t>PI-UE-02</t>
  </si>
  <si>
    <t>兒童加護病房非計畫性的氣管內管滑脫事件-PICU</t>
  </si>
  <si>
    <t>RCC-Integ05</t>
  </si>
  <si>
    <t>亞急性呼吸照護病房平均住院天數</t>
  </si>
  <si>
    <t>護品會</t>
    <phoneticPr fontId="1" type="noConversion"/>
  </si>
  <si>
    <t>護理部</t>
    <phoneticPr fontId="1" type="noConversion"/>
  </si>
  <si>
    <t>護理部</t>
    <phoneticPr fontId="1" type="noConversion"/>
  </si>
  <si>
    <t>護品會</t>
    <phoneticPr fontId="1" type="noConversion"/>
  </si>
  <si>
    <t>負向</t>
    <phoneticPr fontId="1" type="noConversion"/>
  </si>
  <si>
    <t>一般</t>
    <phoneticPr fontId="1" type="noConversion"/>
  </si>
  <si>
    <t>---</t>
    <phoneticPr fontId="1" type="noConversion"/>
  </si>
  <si>
    <t>亞急性呼吸照護病房留置導尿管相關尿路感染(CAUTI)</t>
    <phoneticPr fontId="1" type="noConversion"/>
  </si>
  <si>
    <t>一般住院照護指標</t>
    <phoneticPr fontId="1" type="noConversion"/>
  </si>
  <si>
    <t>紅燈(低於閾值)</t>
  </si>
  <si>
    <t>穩定</t>
    <phoneticPr fontId="1" type="noConversion"/>
  </si>
  <si>
    <t>AMI住院中死亡率(含病危自動出院)</t>
    <phoneticPr fontId="1" type="noConversion"/>
  </si>
  <si>
    <t>加護病房死亡率 (含病危自動出院)</t>
    <phoneticPr fontId="1" type="noConversion"/>
  </si>
  <si>
    <t>穩定</t>
  </si>
  <si>
    <t>精神科病人自傷事件</t>
    <phoneticPr fontId="1" type="noConversion"/>
  </si>
  <si>
    <t>心臟科加護病房呼吸器相關肺炎(VAP)</t>
    <phoneticPr fontId="1" type="noConversion"/>
  </si>
  <si>
    <t>穩定</t>
    <phoneticPr fontId="1" type="noConversion"/>
  </si>
  <si>
    <t>穩定</t>
    <phoneticPr fontId="1" type="noConversion"/>
  </si>
  <si>
    <t>穩定</t>
    <phoneticPr fontId="1" type="noConversion"/>
  </si>
  <si>
    <t>亞急性呼吸照護病房呼吸器脫離成功率</t>
    <phoneticPr fontId="1" type="noConversion"/>
  </si>
  <si>
    <t>亞急性呼吸照護病房非計畫性的氣管內管滑脫事件</t>
    <phoneticPr fontId="1" type="noConversion"/>
  </si>
  <si>
    <t>兒科急診病人72小時內相關性急診返診</t>
    <phoneticPr fontId="1" type="noConversion"/>
  </si>
  <si>
    <t>急診會診超過30分鐘比率</t>
    <phoneticPr fontId="1" type="noConversion"/>
  </si>
  <si>
    <t>穩定</t>
    <phoneticPr fontId="1" type="noConversion"/>
  </si>
  <si>
    <t>NP</t>
  </si>
  <si>
    <t>感染管制中心</t>
  </si>
  <si>
    <t>外科加護病房非計畫性的氣管內管滑脫事件</t>
    <phoneticPr fontId="1" type="noConversion"/>
  </si>
  <si>
    <t>NQ</t>
  </si>
  <si>
    <t>N/A</t>
  </si>
  <si>
    <t>NR</t>
  </si>
  <si>
    <t>---</t>
    <phoneticPr fontId="1" type="noConversion"/>
  </si>
  <si>
    <t>---</t>
    <phoneticPr fontId="1" type="noConversion"/>
  </si>
  <si>
    <t>重點照護_中風照護</t>
    <phoneticPr fontId="1" type="noConversion"/>
  </si>
  <si>
    <t>STK-04</t>
  </si>
  <si>
    <t>急性缺血性中風抵達急診60分鐘(含)內接受靜脈血栓溶解劑治療</t>
  </si>
  <si>
    <t>急性缺血性中風接受靜脈血栓溶解劑治療36小時內(含)，發生症狀性顱內出血比例</t>
  </si>
  <si>
    <t>急性缺血性中風或暫時性腦缺血(TIA)併心房顫動病人接受抗凝血藥物治療</t>
  </si>
  <si>
    <t>急性缺血性中風或暫時性腦缺血(TIA)病人出院給予降血脂藥物</t>
  </si>
  <si>
    <t>STK-17</t>
  </si>
  <si>
    <t>急性缺血性中風發作3.5小時(含)內抵達急診，且在發作4.5小時(含)內接受靜脈血栓溶解劑治療</t>
  </si>
  <si>
    <t>符合動脈血栓移除治療(endovascular thrombectomy)適應症的急性缺血性腦中風病人接受動脈血栓移除治療(endovascular thrombectomy)比率</t>
  </si>
  <si>
    <t>急性缺血性中風病人住院死亡率(含病危自動出院)</t>
  </si>
  <si>
    <t>STK-35</t>
  </si>
  <si>
    <t>符合靜脈血栓溶解治療適應症的急性缺血性腦中風病人接受靜脈血栓溶解治療比率</t>
  </si>
  <si>
    <t>---</t>
    <phoneticPr fontId="1" type="noConversion"/>
  </si>
  <si>
    <t>黃燈(超過目標值)</t>
  </si>
  <si>
    <t>黃燈(低於目標值)</t>
  </si>
  <si>
    <t>---</t>
    <phoneticPr fontId="1" type="noConversion"/>
  </si>
  <si>
    <t>&gt;3σ</t>
  </si>
  <si>
    <t>&gt;2σ</t>
    <phoneticPr fontId="1" type="noConversion"/>
  </si>
  <si>
    <t>&gt;3σ</t>
    <phoneticPr fontId="1" type="noConversion"/>
  </si>
  <si>
    <t>&gt;2σ</t>
    <phoneticPr fontId="1" type="noConversion"/>
  </si>
  <si>
    <r>
      <t>說明：</t>
    </r>
    <r>
      <rPr>
        <sz val="13"/>
        <color rgb="FFFF0000"/>
        <rFont val="微軟正黑體"/>
        <family val="2"/>
        <charset val="136"/>
      </rPr>
      <t>本表數值純屬虛構，僅供本次 AI 工作坊實作教學使用。</t>
    </r>
    <r>
      <rPr>
        <sz val="13"/>
        <color theme="1"/>
        <rFont val="微軟正黑體"/>
        <family val="2"/>
        <charset val="136"/>
      </rPr>
      <t xml:space="preserve">
(1)閾值：醫學中心114年全年度之75百分位(負向指標)，25百分位(正向指標)。
(2)目標值：醫學中心114年全年度之加權平均值。
(3)燈號：紅燈為超過閾值(負向指標)或低於閾值(正向指標)；黃燈為超過目標值(負向指標)或低於目標值(正向指標)或大於2倍標準差。</t>
    </r>
    <phoneticPr fontId="1" type="noConversion"/>
  </si>
  <si>
    <t>本表數值純屬虛構，僅供本次 AI 工作坊實作教學使用。</t>
  </si>
  <si>
    <r>
      <t>說明：</t>
    </r>
    <r>
      <rPr>
        <sz val="13"/>
        <color rgb="FFFF0000"/>
        <rFont val="微軟正黑體"/>
        <family val="2"/>
        <charset val="136"/>
      </rPr>
      <t>本表數值純屬虛構，僅供本次 AI 工作坊實作教學使用。</t>
    </r>
    <r>
      <rPr>
        <sz val="13"/>
        <color theme="1"/>
        <rFont val="微軟正黑體"/>
        <family val="2"/>
        <charset val="136"/>
      </rPr>
      <t xml:space="preserve">
(1)閾值：醫學中心114年全年度之75百分位(負向指標)，25百分位(正向指標)。
(2)目標值：醫學中心114年全年度之加權平均值。
(3)燈號：紅燈為超過閾值(負向指標)或低於閾值(正向指標)；黃燈為超過目標值(負向指標)或低於目標值(正向指標)。</t>
    </r>
    <phoneticPr fontId="1" type="noConversion"/>
  </si>
  <si>
    <t>台灣臨床成效指標115年○月報表(TCPI)_綜合照護</t>
    <phoneticPr fontId="1" type="noConversion"/>
  </si>
  <si>
    <t>台灣臨床成效指標115年○月報表(TCPI)_急性精神</t>
    <phoneticPr fontId="1" type="noConversion"/>
  </si>
  <si>
    <t>醫院評鑑持續性監測指標115年○月報表（QIP）</t>
    <phoneticPr fontId="1" type="noConversion"/>
  </si>
  <si>
    <t>115年○月</t>
    <phoneticPr fontId="7" type="noConversion"/>
  </si>
  <si>
    <t>115年○月</t>
    <phoneticPr fontId="1" type="noConversion"/>
  </si>
  <si>
    <t>115年○月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</si>
</sst>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0_);[Red]\(0.00\)"/>
    <numFmt numFmtId="177" formatCode="0_);[Red]\(0\)"/>
  </numFmts>
  <fonts count="22" x14ac:knownFonts="1">
    <font>
      <sz val="12"/>
      <color theme="1"/>
      <name val="新細明體"/>
      <family val="2"/>
      <charset val="136"/>
      <scheme val="minor"/>
    </font>
    <font>
      <sz val="9"/>
      <name val="新細明體"/>
      <family val="2"/>
      <charset val="136"/>
      <scheme val="minor"/>
    </font>
    <font>
      <sz val="10"/>
      <name val="Arial"/>
      <family val="2"/>
    </font>
    <font>
      <sz val="14"/>
      <color theme="0"/>
      <name val="微軟正黑體"/>
      <family val="2"/>
      <charset val="136"/>
    </font>
    <font>
      <sz val="14"/>
      <color theme="1"/>
      <name val="微軟正黑體"/>
      <family val="2"/>
      <charset val="136"/>
    </font>
    <font>
      <sz val="14"/>
      <name val="微軟正黑體"/>
      <family val="2"/>
      <charset val="136"/>
    </font>
    <font>
      <u/>
      <sz val="14"/>
      <color theme="1"/>
      <name val="微軟正黑體"/>
      <family val="2"/>
      <charset val="136"/>
    </font>
    <font>
      <sz val="9"/>
      <name val="細明體"/>
      <family val="3"/>
      <charset val="136"/>
    </font>
    <font>
      <sz val="15"/>
      <name val="微軟正黑體"/>
      <family val="2"/>
      <charset val="136"/>
    </font>
    <font>
      <sz val="10"/>
      <name val="微軟正黑體"/>
      <family val="2"/>
      <charset val="136"/>
    </font>
    <font>
      <b/>
      <sz val="18"/>
      <color theme="1"/>
      <name val="微軟正黑體"/>
      <family val="2"/>
      <charset val="136"/>
    </font>
    <font>
      <sz val="11"/>
      <name val="微軟正黑體"/>
      <family val="2"/>
      <charset val="136"/>
    </font>
    <font>
      <sz val="10"/>
      <name val="Arial"/>
      <family val="2"/>
    </font>
    <font>
      <sz val="13"/>
      <color theme="1"/>
      <name val="微軟正黑體"/>
      <family val="2"/>
      <charset val="136"/>
    </font>
    <font>
      <sz val="13"/>
      <color theme="0"/>
      <name val="微軟正黑體"/>
      <family val="2"/>
      <charset val="136"/>
    </font>
    <font>
      <sz val="13"/>
      <name val="微軟正黑體"/>
      <family val="2"/>
      <charset val="136"/>
    </font>
    <font>
      <sz val="10"/>
      <color theme="1"/>
      <name val="微軟正黑體"/>
      <family val="2"/>
      <charset val="136"/>
    </font>
    <font>
      <b/>
      <sz val="20"/>
      <color theme="1"/>
      <name val="微軟正黑體"/>
      <family val="2"/>
      <charset val="136"/>
    </font>
    <font>
      <sz val="9"/>
      <name val="微軟正黑體"/>
      <family val="2"/>
      <charset val="136"/>
    </font>
    <font>
      <b/>
      <sz val="14"/>
      <color rgb="FF0000FF"/>
      <name val="微軟正黑體"/>
      <family val="2"/>
      <charset val="136"/>
    </font>
    <font>
      <sz val="13"/>
      <color rgb="FFFF0000"/>
      <name val="微軟正黑體"/>
      <family val="2"/>
      <charset val="136"/>
    </font>
    <font>
      <sz val="15"/>
      <color rgb="FFFF0000"/>
      <name val="微軟正黑體"/>
      <family val="2"/>
      <charset val="136"/>
    </font>
  </fonts>
  <fills count="5">
    <fill>
      <patternFill patternType="none"/>
    </fill>
    <fill>
      <patternFill patternType="gray125"/>
    </fill>
    <fill>
      <patternFill patternType="solid">
        <fgColor theme="4" tint="-0.249977111117893"/>
        <bgColor indexed="64"/>
      </patternFill>
    </fill>
    <fill>
      <patternFill patternType="solid">
        <fgColor theme="5" tint="0.79998168889431442"/>
        <bgColor indexed="64"/>
      </patternFill>
    </fill>
    <fill>
      <patternFill patternType="solid">
        <fgColor rgb="FFFFFFCC"/>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8"/>
      </left>
      <right style="thin">
        <color indexed="8"/>
      </right>
      <top style="thin">
        <color indexed="8"/>
      </top>
      <bottom style="thin">
        <color indexed="8"/>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style="medium">
        <color indexed="64"/>
      </left>
      <right/>
      <top/>
      <bottom style="thin">
        <color indexed="64"/>
      </bottom>
      <diagonal/>
    </border>
    <border>
      <left style="medium">
        <color indexed="64"/>
      </left>
      <right/>
      <top/>
      <bottom/>
      <diagonal/>
    </border>
    <border>
      <left style="medium">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s>
  <cellStyleXfs count="85">
    <xf numFmtId="0" fontId="0"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2" fillId="0" borderId="0"/>
  </cellStyleXfs>
  <cellXfs count="287">
    <xf numFmtId="0" fontId="0" fillId="0" borderId="0" xfId="0">
      <alignment vertical="center"/>
    </xf>
    <xf numFmtId="0" fontId="4" fillId="0" borderId="0" xfId="0" applyFont="1" applyBorder="1">
      <alignment vertical="center"/>
    </xf>
    <xf numFmtId="49" fontId="5" fillId="0" borderId="4" xfId="0" applyNumberFormat="1" applyFont="1" applyFill="1" applyBorder="1" applyAlignment="1">
      <alignment horizontal="left" vertical="center" wrapText="1"/>
    </xf>
    <xf numFmtId="0" fontId="4" fillId="0" borderId="4" xfId="0" applyFont="1" applyFill="1" applyBorder="1">
      <alignment vertical="center"/>
    </xf>
    <xf numFmtId="49" fontId="5" fillId="0" borderId="4" xfId="0" applyNumberFormat="1" applyFont="1" applyFill="1" applyBorder="1" applyAlignment="1">
      <alignment horizontal="center" vertical="center" wrapText="1"/>
    </xf>
    <xf numFmtId="0" fontId="5" fillId="0" borderId="4" xfId="0" applyNumberFormat="1" applyFont="1" applyFill="1" applyBorder="1" applyAlignment="1">
      <alignment horizontal="right" vertical="center" wrapText="1"/>
    </xf>
    <xf numFmtId="49" fontId="5" fillId="0" borderId="1" xfId="0" applyNumberFormat="1" applyFont="1" applyFill="1" applyBorder="1" applyAlignment="1">
      <alignment horizontal="left" vertical="center" wrapText="1"/>
    </xf>
    <xf numFmtId="0" fontId="4" fillId="0" borderId="1" xfId="0" applyFont="1" applyFill="1" applyBorder="1">
      <alignment vertical="center"/>
    </xf>
    <xf numFmtId="49"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right" vertical="center" wrapText="1"/>
    </xf>
    <xf numFmtId="49" fontId="5" fillId="0" borderId="6" xfId="0" applyNumberFormat="1" applyFont="1" applyFill="1" applyBorder="1" applyAlignment="1">
      <alignment horizontal="left" vertical="center" wrapText="1"/>
    </xf>
    <xf numFmtId="0" fontId="4" fillId="0" borderId="6" xfId="0" applyFont="1" applyFill="1" applyBorder="1">
      <alignment vertical="center"/>
    </xf>
    <xf numFmtId="49" fontId="5" fillId="0" borderId="6" xfId="0" applyNumberFormat="1" applyFont="1" applyFill="1" applyBorder="1" applyAlignment="1">
      <alignment horizontal="center" vertical="center" wrapText="1"/>
    </xf>
    <xf numFmtId="0" fontId="5" fillId="0" borderId="6" xfId="0" applyNumberFormat="1" applyFont="1" applyFill="1" applyBorder="1" applyAlignment="1">
      <alignment horizontal="right" vertical="center" wrapText="1"/>
    </xf>
    <xf numFmtId="49" fontId="5" fillId="3" borderId="1" xfId="0" applyNumberFormat="1" applyFont="1" applyFill="1" applyBorder="1" applyAlignment="1">
      <alignment horizontal="left" vertical="center" wrapText="1"/>
    </xf>
    <xf numFmtId="49" fontId="5"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right" vertical="center" wrapText="1"/>
    </xf>
    <xf numFmtId="176" fontId="5" fillId="0" borderId="4" xfId="0" applyNumberFormat="1" applyFont="1" applyFill="1" applyBorder="1" applyAlignment="1">
      <alignment horizontal="right" vertical="center" wrapText="1"/>
    </xf>
    <xf numFmtId="176" fontId="5" fillId="0" borderId="1" xfId="0" applyNumberFormat="1" applyFont="1" applyFill="1" applyBorder="1" applyAlignment="1">
      <alignment horizontal="right" vertical="center" wrapText="1"/>
    </xf>
    <xf numFmtId="0" fontId="5" fillId="0" borderId="1" xfId="0" applyFont="1" applyFill="1" applyBorder="1">
      <alignment vertical="center"/>
    </xf>
    <xf numFmtId="49" fontId="5" fillId="0" borderId="14" xfId="0" applyNumberFormat="1" applyFont="1" applyFill="1" applyBorder="1" applyAlignment="1">
      <alignment horizontal="left" vertical="center" wrapText="1"/>
    </xf>
    <xf numFmtId="49" fontId="5" fillId="0" borderId="12" xfId="0" applyNumberFormat="1" applyFont="1" applyFill="1" applyBorder="1" applyAlignment="1">
      <alignment horizontal="left" vertical="center" wrapText="1"/>
    </xf>
    <xf numFmtId="49" fontId="5" fillId="0" borderId="15" xfId="0" applyNumberFormat="1" applyFont="1" applyFill="1" applyBorder="1" applyAlignment="1">
      <alignment horizontal="left" vertical="center" wrapText="1"/>
    </xf>
    <xf numFmtId="0" fontId="8" fillId="0" borderId="0" xfId="15" applyFont="1" applyBorder="1" applyAlignment="1">
      <alignment horizontal="center"/>
    </xf>
    <xf numFmtId="0" fontId="5" fillId="0" borderId="1" xfId="15" applyFont="1" applyFill="1" applyBorder="1" applyAlignment="1">
      <alignment horizontal="left" vertical="center" wrapText="1"/>
    </xf>
    <xf numFmtId="0" fontId="5" fillId="0" borderId="1" xfId="15" applyFont="1" applyFill="1" applyBorder="1" applyAlignment="1">
      <alignment horizontal="center" vertical="center" wrapText="1"/>
    </xf>
    <xf numFmtId="0" fontId="5" fillId="0" borderId="1" xfId="15" applyFont="1" applyFill="1" applyBorder="1" applyAlignment="1">
      <alignment horizontal="center" vertical="center"/>
    </xf>
    <xf numFmtId="0" fontId="8" fillId="0" borderId="0" xfId="15" applyFont="1" applyBorder="1" applyAlignment="1">
      <alignment horizontal="right"/>
    </xf>
    <xf numFmtId="0" fontId="8" fillId="0" borderId="1" xfId="15" applyFont="1" applyBorder="1" applyAlignment="1">
      <alignment horizontal="center" vertical="center" wrapText="1"/>
    </xf>
    <xf numFmtId="0" fontId="8" fillId="0" borderId="0" xfId="15" applyFont="1" applyBorder="1" applyAlignment="1">
      <alignment horizontal="left"/>
    </xf>
    <xf numFmtId="0" fontId="5" fillId="0" borderId="6" xfId="0" applyFont="1" applyFill="1" applyBorder="1">
      <alignment vertical="center"/>
    </xf>
    <xf numFmtId="0" fontId="5" fillId="3" borderId="1" xfId="15" applyFont="1" applyFill="1" applyBorder="1" applyAlignment="1">
      <alignment horizontal="center" vertical="center"/>
    </xf>
    <xf numFmtId="0" fontId="5" fillId="3" borderId="1" xfId="15" applyFont="1" applyFill="1" applyBorder="1" applyAlignment="1">
      <alignment horizontal="left" vertical="center" wrapText="1"/>
    </xf>
    <xf numFmtId="0" fontId="5" fillId="3" borderId="1" xfId="15" applyFont="1" applyFill="1" applyBorder="1" applyAlignment="1">
      <alignment horizontal="center" vertical="center" wrapText="1"/>
    </xf>
    <xf numFmtId="0" fontId="4" fillId="0" borderId="0" xfId="0" applyFont="1" applyBorder="1" applyAlignment="1">
      <alignment horizontal="center" vertical="center"/>
    </xf>
    <xf numFmtId="0" fontId="11" fillId="0" borderId="1" xfId="15" applyFont="1" applyFill="1" applyBorder="1" applyAlignment="1">
      <alignment horizontal="center" vertical="center"/>
    </xf>
    <xf numFmtId="0" fontId="5" fillId="0" borderId="4" xfId="0" applyNumberFormat="1" applyFont="1" applyFill="1" applyBorder="1" applyAlignment="1">
      <alignment horizontal="center" vertical="center" wrapText="1"/>
    </xf>
    <xf numFmtId="0" fontId="4" fillId="0" borderId="0" xfId="0" applyFont="1" applyFill="1" applyBorder="1">
      <alignment vertical="center"/>
    </xf>
    <xf numFmtId="176" fontId="5" fillId="0" borderId="1" xfId="0" quotePrefix="1" applyNumberFormat="1" applyFont="1" applyFill="1" applyBorder="1" applyAlignment="1">
      <alignment horizontal="right" vertical="center"/>
    </xf>
    <xf numFmtId="176" fontId="5" fillId="0" borderId="1" xfId="0" applyNumberFormat="1" applyFont="1" applyFill="1" applyBorder="1" applyAlignment="1">
      <alignment horizontal="right" vertical="center"/>
    </xf>
    <xf numFmtId="49" fontId="5" fillId="3" borderId="12" xfId="0" applyNumberFormat="1" applyFont="1" applyFill="1" applyBorder="1" applyAlignment="1">
      <alignment horizontal="left" vertical="center" wrapText="1"/>
    </xf>
    <xf numFmtId="0" fontId="4" fillId="3" borderId="1" xfId="0" applyFont="1" applyFill="1" applyBorder="1">
      <alignment vertical="center"/>
    </xf>
    <xf numFmtId="176" fontId="5" fillId="3" borderId="1" xfId="0" applyNumberFormat="1" applyFont="1" applyFill="1" applyBorder="1" applyAlignment="1">
      <alignment horizontal="right" vertical="center"/>
    </xf>
    <xf numFmtId="176" fontId="4" fillId="0" borderId="1" xfId="0" applyNumberFormat="1" applyFont="1" applyFill="1" applyBorder="1" applyAlignment="1">
      <alignment horizontal="right" vertical="center"/>
    </xf>
    <xf numFmtId="176" fontId="5" fillId="0" borderId="6" xfId="0" applyNumberFormat="1" applyFont="1" applyFill="1" applyBorder="1" applyAlignment="1">
      <alignment horizontal="right" vertical="center"/>
    </xf>
    <xf numFmtId="176" fontId="5" fillId="0" borderId="4" xfId="0" applyNumberFormat="1" applyFont="1" applyFill="1" applyBorder="1" applyAlignment="1">
      <alignment horizontal="right" vertical="center"/>
    </xf>
    <xf numFmtId="176" fontId="3" fillId="2" borderId="6" xfId="0" applyNumberFormat="1" applyFont="1" applyFill="1" applyBorder="1" applyAlignment="1">
      <alignment horizontal="center" vertical="center"/>
    </xf>
    <xf numFmtId="0" fontId="3" fillId="2" borderId="6" xfId="0" applyFont="1" applyFill="1" applyBorder="1" applyAlignment="1">
      <alignment horizontal="center" vertical="center"/>
    </xf>
    <xf numFmtId="176" fontId="5" fillId="0" borderId="1" xfId="15" applyNumberFormat="1" applyFont="1" applyFill="1" applyBorder="1" applyAlignment="1">
      <alignment horizontal="right" vertical="center"/>
    </xf>
    <xf numFmtId="176" fontId="5" fillId="0" borderId="1" xfId="15" quotePrefix="1" applyNumberFormat="1" applyFont="1" applyFill="1" applyBorder="1" applyAlignment="1">
      <alignment horizontal="right" vertical="center"/>
    </xf>
    <xf numFmtId="176" fontId="5" fillId="3" borderId="1" xfId="15" applyNumberFormat="1" applyFont="1" applyFill="1" applyBorder="1" applyAlignment="1">
      <alignment horizontal="right" vertical="center"/>
    </xf>
    <xf numFmtId="176" fontId="3" fillId="2" borderId="1" xfId="15" applyNumberFormat="1" applyFont="1" applyFill="1" applyBorder="1" applyAlignment="1">
      <alignment horizontal="center" vertical="center"/>
    </xf>
    <xf numFmtId="176" fontId="8" fillId="0" borderId="0" xfId="15" applyNumberFormat="1" applyFont="1" applyBorder="1" applyAlignment="1">
      <alignment horizontal="right"/>
    </xf>
    <xf numFmtId="177" fontId="3" fillId="2" borderId="1" xfId="15" applyNumberFormat="1" applyFont="1" applyFill="1" applyBorder="1" applyAlignment="1">
      <alignment horizontal="center" vertical="center"/>
    </xf>
    <xf numFmtId="177" fontId="5" fillId="0" borderId="20" xfId="15" quotePrefix="1" applyNumberFormat="1" applyFont="1" applyFill="1" applyBorder="1" applyAlignment="1">
      <alignment horizontal="right" vertical="center" wrapText="1"/>
    </xf>
    <xf numFmtId="177" fontId="8" fillId="0" borderId="0" xfId="15" applyNumberFormat="1" applyFont="1" applyBorder="1" applyAlignment="1">
      <alignment horizontal="right"/>
    </xf>
    <xf numFmtId="0" fontId="4" fillId="0" borderId="0" xfId="0" applyFont="1" applyBorder="1" applyAlignment="1">
      <alignment horizontal="right" vertical="center"/>
    </xf>
    <xf numFmtId="176" fontId="4" fillId="0" borderId="0" xfId="0" applyNumberFormat="1" applyFont="1" applyBorder="1" applyAlignment="1">
      <alignment horizontal="right" vertical="center"/>
    </xf>
    <xf numFmtId="176" fontId="4" fillId="0" borderId="0" xfId="0" applyNumberFormat="1" applyFont="1" applyBorder="1" applyAlignment="1">
      <alignment horizontal="center" vertical="center"/>
    </xf>
    <xf numFmtId="0" fontId="15" fillId="0" borderId="0" xfId="15" applyFont="1" applyBorder="1" applyAlignment="1">
      <alignment horizontal="center"/>
    </xf>
    <xf numFmtId="177" fontId="5" fillId="0" borderId="1" xfId="15" quotePrefix="1" applyNumberFormat="1" applyFont="1" applyFill="1" applyBorder="1" applyAlignment="1">
      <alignment horizontal="right" vertical="center"/>
    </xf>
    <xf numFmtId="0" fontId="8" fillId="0" borderId="1" xfId="15" applyFont="1" applyFill="1" applyBorder="1" applyAlignment="1">
      <alignment horizontal="center" vertical="center" wrapText="1"/>
    </xf>
    <xf numFmtId="0" fontId="11" fillId="0" borderId="1" xfId="15" applyFont="1" applyFill="1" applyBorder="1" applyAlignment="1">
      <alignment horizontal="center" vertical="center" wrapText="1"/>
    </xf>
    <xf numFmtId="0" fontId="4" fillId="0" borderId="0" xfId="0" applyFont="1">
      <alignment vertical="center"/>
    </xf>
    <xf numFmtId="49" fontId="5" fillId="0" borderId="1" xfId="0" applyNumberFormat="1" applyFont="1" applyBorder="1" applyAlignment="1">
      <alignment horizontal="left" vertical="center" wrapText="1"/>
    </xf>
    <xf numFmtId="49" fontId="5" fillId="0" borderId="1" xfId="0" applyNumberFormat="1" applyFont="1" applyBorder="1" applyAlignment="1">
      <alignment horizontal="center" vertical="center" wrapText="1"/>
    </xf>
    <xf numFmtId="0" fontId="5" fillId="0" borderId="1" xfId="0" applyNumberFormat="1" applyFont="1" applyBorder="1" applyAlignment="1">
      <alignment horizontal="right" vertical="center" wrapText="1"/>
    </xf>
    <xf numFmtId="0" fontId="4" fillId="0" borderId="8" xfId="0" applyFont="1" applyBorder="1">
      <alignment vertical="center"/>
    </xf>
    <xf numFmtId="0" fontId="4" fillId="0" borderId="8" xfId="0" applyFont="1" applyFill="1" applyBorder="1">
      <alignment vertical="center"/>
    </xf>
    <xf numFmtId="0" fontId="5" fillId="0" borderId="1" xfId="0" applyFont="1" applyFill="1" applyBorder="1" applyAlignment="1">
      <alignment horizontal="center" vertical="center"/>
    </xf>
    <xf numFmtId="0" fontId="5" fillId="0" borderId="6"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1" xfId="0" applyFont="1" applyBorder="1" applyAlignment="1">
      <alignment horizontal="center" vertical="center"/>
    </xf>
    <xf numFmtId="49" fontId="5" fillId="0" borderId="6" xfId="0" applyNumberFormat="1" applyFont="1" applyBorder="1" applyAlignment="1">
      <alignment horizontal="left" vertical="center" wrapText="1"/>
    </xf>
    <xf numFmtId="49" fontId="5" fillId="0" borderId="6" xfId="0" applyNumberFormat="1" applyFont="1" applyBorder="1" applyAlignment="1">
      <alignment horizontal="center" vertical="center" wrapText="1"/>
    </xf>
    <xf numFmtId="0" fontId="5" fillId="0" borderId="6" xfId="0" applyNumberFormat="1" applyFont="1" applyBorder="1" applyAlignment="1">
      <alignment horizontal="right" vertical="center" wrapText="1"/>
    </xf>
    <xf numFmtId="0" fontId="5" fillId="0" borderId="6" xfId="0" applyFont="1" applyBorder="1" applyAlignment="1">
      <alignment horizontal="center" vertical="center"/>
    </xf>
    <xf numFmtId="49" fontId="5" fillId="0" borderId="4" xfId="0" applyNumberFormat="1" applyFont="1" applyBorder="1" applyAlignment="1">
      <alignment horizontal="left" vertical="center" wrapText="1"/>
    </xf>
    <xf numFmtId="49" fontId="5" fillId="0" borderId="4" xfId="0" applyNumberFormat="1" applyFont="1" applyBorder="1" applyAlignment="1">
      <alignment horizontal="center" vertical="center" wrapText="1"/>
    </xf>
    <xf numFmtId="0" fontId="5" fillId="0" borderId="4" xfId="0" applyNumberFormat="1" applyFont="1" applyBorder="1" applyAlignment="1">
      <alignment horizontal="right" vertical="center" wrapText="1"/>
    </xf>
    <xf numFmtId="0" fontId="5" fillId="0" borderId="4" xfId="0" applyFont="1" applyBorder="1" applyAlignment="1">
      <alignment horizontal="center" vertical="center"/>
    </xf>
    <xf numFmtId="0" fontId="4" fillId="0" borderId="0" xfId="0" applyFont="1" applyAlignment="1">
      <alignment horizontal="center" vertical="center"/>
    </xf>
    <xf numFmtId="176" fontId="4" fillId="0" borderId="0" xfId="0" applyNumberFormat="1" applyFont="1">
      <alignment vertical="center"/>
    </xf>
    <xf numFmtId="0" fontId="5" fillId="0" borderId="20" xfId="15" applyNumberFormat="1" applyFont="1" applyFill="1" applyBorder="1" applyAlignment="1">
      <alignment horizontal="right" vertical="center" wrapText="1"/>
    </xf>
    <xf numFmtId="0" fontId="5" fillId="3" borderId="20" xfId="15" applyNumberFormat="1" applyFont="1" applyFill="1" applyBorder="1" applyAlignment="1">
      <alignment horizontal="right" vertical="center" wrapText="1"/>
    </xf>
    <xf numFmtId="0" fontId="5" fillId="0" borderId="4" xfId="0" applyFont="1" applyFill="1" applyBorder="1" applyAlignment="1">
      <alignment horizontal="center" vertical="center"/>
    </xf>
    <xf numFmtId="0" fontId="3" fillId="2" borderId="2" xfId="0" applyFont="1" applyFill="1" applyBorder="1" applyAlignment="1">
      <alignment horizontal="center" vertical="center"/>
    </xf>
    <xf numFmtId="0" fontId="18" fillId="0" borderId="8" xfId="0" applyFont="1" applyFill="1" applyBorder="1" applyAlignment="1">
      <alignment vertical="center" wrapText="1"/>
    </xf>
    <xf numFmtId="0" fontId="18" fillId="0" borderId="7" xfId="0" applyFont="1" applyFill="1" applyBorder="1" applyAlignment="1">
      <alignment horizontal="left" vertical="center" wrapText="1"/>
    </xf>
    <xf numFmtId="0" fontId="18" fillId="0" borderId="7" xfId="0" applyFont="1" applyFill="1" applyBorder="1" applyAlignment="1">
      <alignment vertical="center" wrapText="1"/>
    </xf>
    <xf numFmtId="0" fontId="18" fillId="3" borderId="8" xfId="0" applyFont="1" applyFill="1" applyBorder="1" applyAlignment="1">
      <alignment vertical="center" wrapText="1"/>
    </xf>
    <xf numFmtId="0" fontId="18" fillId="0" borderId="5" xfId="0" applyFont="1" applyFill="1" applyBorder="1" applyAlignment="1">
      <alignment vertical="center" wrapText="1"/>
    </xf>
    <xf numFmtId="176" fontId="19" fillId="0" borderId="1" xfId="0" applyNumberFormat="1" applyFont="1" applyFill="1" applyBorder="1" applyAlignment="1">
      <alignment horizontal="right" vertical="center" wrapText="1"/>
    </xf>
    <xf numFmtId="176" fontId="19" fillId="0" borderId="6" xfId="0" applyNumberFormat="1" applyFont="1" applyFill="1" applyBorder="1" applyAlignment="1">
      <alignment horizontal="right" vertical="center" wrapText="1"/>
    </xf>
    <xf numFmtId="176" fontId="19" fillId="3" borderId="1" xfId="0" applyNumberFormat="1" applyFont="1" applyFill="1" applyBorder="1" applyAlignment="1">
      <alignment horizontal="right" vertical="center" wrapText="1"/>
    </xf>
    <xf numFmtId="176" fontId="19" fillId="0" borderId="4" xfId="0" applyNumberFormat="1" applyFont="1" applyFill="1" applyBorder="1" applyAlignment="1">
      <alignment horizontal="right" vertical="center" wrapText="1"/>
    </xf>
    <xf numFmtId="176" fontId="19" fillId="0" borderId="16" xfId="0" applyNumberFormat="1" applyFont="1" applyFill="1" applyBorder="1" applyAlignment="1">
      <alignment horizontal="right" vertical="center" wrapText="1"/>
    </xf>
    <xf numFmtId="176" fontId="19" fillId="0" borderId="1" xfId="0" applyNumberFormat="1" applyFont="1" applyBorder="1" applyAlignment="1">
      <alignment horizontal="right" vertical="center" wrapText="1"/>
    </xf>
    <xf numFmtId="176" fontId="19" fillId="0" borderId="6" xfId="0" applyNumberFormat="1" applyFont="1" applyBorder="1" applyAlignment="1">
      <alignment horizontal="right" vertical="center" wrapText="1"/>
    </xf>
    <xf numFmtId="176" fontId="19" fillId="0" borderId="4" xfId="0" applyNumberFormat="1" applyFont="1" applyBorder="1" applyAlignment="1">
      <alignment horizontal="right" vertical="center" wrapText="1"/>
    </xf>
    <xf numFmtId="0" fontId="4" fillId="0" borderId="7" xfId="0" applyFont="1" applyBorder="1">
      <alignment vertical="center"/>
    </xf>
    <xf numFmtId="0" fontId="19" fillId="0" borderId="20" xfId="15" applyNumberFormat="1" applyFont="1" applyFill="1" applyBorder="1" applyAlignment="1">
      <alignment horizontal="right" vertical="center" wrapText="1"/>
    </xf>
    <xf numFmtId="0" fontId="19" fillId="3" borderId="20" xfId="15" applyNumberFormat="1" applyFont="1" applyFill="1" applyBorder="1" applyAlignment="1">
      <alignment horizontal="right" vertical="center" wrapText="1"/>
    </xf>
    <xf numFmtId="0" fontId="5" fillId="0" borderId="20" xfId="15" quotePrefix="1" applyNumberFormat="1" applyFont="1" applyFill="1" applyBorder="1" applyAlignment="1">
      <alignment horizontal="right" vertical="center" wrapText="1"/>
    </xf>
    <xf numFmtId="0" fontId="19" fillId="0" borderId="20" xfId="15" quotePrefix="1" applyNumberFormat="1" applyFont="1" applyFill="1" applyBorder="1" applyAlignment="1">
      <alignment horizontal="right" vertical="center" wrapText="1"/>
    </xf>
    <xf numFmtId="0" fontId="5" fillId="0" borderId="4" xfId="0" applyFont="1" applyFill="1" applyBorder="1">
      <alignment vertical="center"/>
    </xf>
    <xf numFmtId="0" fontId="5" fillId="0" borderId="16" xfId="0" applyNumberFormat="1" applyFont="1" applyFill="1" applyBorder="1" applyAlignment="1">
      <alignment horizontal="right" vertical="center" wrapText="1"/>
    </xf>
    <xf numFmtId="49" fontId="5" fillId="0" borderId="16" xfId="0" applyNumberFormat="1" applyFont="1" applyFill="1" applyBorder="1" applyAlignment="1">
      <alignment horizontal="left" vertical="center" wrapText="1"/>
    </xf>
    <xf numFmtId="0" fontId="4" fillId="0" borderId="16" xfId="0" applyFont="1" applyFill="1" applyBorder="1">
      <alignment vertical="center"/>
    </xf>
    <xf numFmtId="49" fontId="5" fillId="0" borderId="16" xfId="0" applyNumberFormat="1" applyFont="1" applyFill="1" applyBorder="1" applyAlignment="1">
      <alignment horizontal="center" vertical="center" wrapText="1"/>
    </xf>
    <xf numFmtId="176" fontId="5" fillId="0" borderId="16" xfId="0" applyNumberFormat="1" applyFont="1" applyFill="1" applyBorder="1" applyAlignment="1">
      <alignment horizontal="right" vertical="center"/>
    </xf>
    <xf numFmtId="0" fontId="18" fillId="0" borderId="25" xfId="0" applyFont="1" applyFill="1" applyBorder="1" applyAlignment="1">
      <alignment vertical="center" wrapText="1"/>
    </xf>
    <xf numFmtId="2" fontId="19" fillId="0" borderId="4" xfId="0" applyNumberFormat="1" applyFont="1" applyFill="1" applyBorder="1" applyAlignment="1">
      <alignment horizontal="right" vertical="center" wrapText="1"/>
    </xf>
    <xf numFmtId="49" fontId="5" fillId="0" borderId="44" xfId="0" applyNumberFormat="1" applyFont="1" applyFill="1" applyBorder="1" applyAlignment="1">
      <alignment horizontal="left" vertical="center" wrapText="1"/>
    </xf>
    <xf numFmtId="49" fontId="5" fillId="0" borderId="46" xfId="0" applyNumberFormat="1" applyFont="1" applyFill="1" applyBorder="1" applyAlignment="1">
      <alignment horizontal="left" vertical="center" wrapText="1"/>
    </xf>
    <xf numFmtId="49" fontId="5" fillId="0" borderId="2" xfId="0" applyNumberFormat="1" applyFont="1" applyFill="1" applyBorder="1" applyAlignment="1">
      <alignment horizontal="left" vertical="center" wrapText="1"/>
    </xf>
    <xf numFmtId="0" fontId="4" fillId="0" borderId="2" xfId="0" applyFont="1" applyFill="1" applyBorder="1">
      <alignment vertical="center"/>
    </xf>
    <xf numFmtId="49"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right" vertical="center" wrapText="1"/>
    </xf>
    <xf numFmtId="176" fontId="19" fillId="0" borderId="2" xfId="0" applyNumberFormat="1" applyFont="1" applyFill="1" applyBorder="1" applyAlignment="1">
      <alignment horizontal="right" vertical="center" wrapText="1"/>
    </xf>
    <xf numFmtId="176" fontId="5" fillId="0" borderId="2" xfId="0" applyNumberFormat="1" applyFont="1" applyFill="1" applyBorder="1" applyAlignment="1">
      <alignment horizontal="right" vertical="center"/>
    </xf>
    <xf numFmtId="0" fontId="18" fillId="0" borderId="33" xfId="0" applyFont="1" applyFill="1" applyBorder="1" applyAlignment="1">
      <alignment vertical="center" wrapText="1"/>
    </xf>
    <xf numFmtId="49" fontId="5" fillId="0" borderId="49" xfId="0" applyNumberFormat="1" applyFont="1" applyFill="1" applyBorder="1" applyAlignment="1">
      <alignment horizontal="left" vertical="center" wrapText="1"/>
    </xf>
    <xf numFmtId="49" fontId="4" fillId="0" borderId="49" xfId="0" applyNumberFormat="1" applyFont="1" applyFill="1" applyBorder="1" applyAlignment="1">
      <alignment horizontal="left" vertical="center" wrapText="1"/>
    </xf>
    <xf numFmtId="176" fontId="5" fillId="0" borderId="2" xfId="0" quotePrefix="1" applyNumberFormat="1" applyFont="1" applyFill="1" applyBorder="1" applyAlignment="1">
      <alignment horizontal="right" vertical="center"/>
    </xf>
    <xf numFmtId="0" fontId="4" fillId="0" borderId="6" xfId="0" quotePrefix="1" applyFont="1" applyFill="1" applyBorder="1" applyAlignment="1">
      <alignment horizontal="right" vertical="center"/>
    </xf>
    <xf numFmtId="0" fontId="16" fillId="0" borderId="8" xfId="0" applyFont="1" applyFill="1" applyBorder="1" applyAlignment="1">
      <alignment vertical="center" wrapText="1"/>
    </xf>
    <xf numFmtId="0" fontId="4" fillId="0" borderId="34" xfId="0" applyFont="1" applyFill="1" applyBorder="1" applyAlignment="1">
      <alignment horizontal="center" vertical="center" wrapText="1"/>
    </xf>
    <xf numFmtId="49" fontId="5" fillId="0" borderId="35" xfId="0" applyNumberFormat="1" applyFont="1" applyFill="1" applyBorder="1" applyAlignment="1">
      <alignment horizontal="left" vertical="center" wrapText="1"/>
    </xf>
    <xf numFmtId="49" fontId="5" fillId="0" borderId="35" xfId="0" applyNumberFormat="1" applyFont="1" applyFill="1" applyBorder="1" applyAlignment="1">
      <alignment horizontal="center" vertical="center" wrapText="1"/>
    </xf>
    <xf numFmtId="0" fontId="5" fillId="0" borderId="35" xfId="0" applyNumberFormat="1" applyFont="1" applyFill="1" applyBorder="1" applyAlignment="1">
      <alignment horizontal="right" vertical="center" wrapText="1"/>
    </xf>
    <xf numFmtId="0" fontId="16" fillId="0" borderId="37" xfId="0" applyFont="1" applyFill="1" applyBorder="1" applyAlignment="1">
      <alignment vertical="center" wrapText="1"/>
    </xf>
    <xf numFmtId="0" fontId="5" fillId="0" borderId="6"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wrapText="1"/>
    </xf>
    <xf numFmtId="0" fontId="5" fillId="0" borderId="6" xfId="0" quotePrefix="1" applyFont="1" applyFill="1" applyBorder="1" applyAlignment="1">
      <alignment horizontal="center" vertical="center"/>
    </xf>
    <xf numFmtId="0" fontId="5" fillId="0" borderId="16" xfId="0" applyNumberFormat="1" applyFont="1" applyFill="1" applyBorder="1" applyAlignment="1">
      <alignment horizontal="center" vertical="center" wrapText="1"/>
    </xf>
    <xf numFmtId="2" fontId="19" fillId="0" borderId="35" xfId="0" applyNumberFormat="1" applyFont="1" applyFill="1" applyBorder="1" applyAlignment="1">
      <alignment horizontal="right" vertical="center" wrapText="1"/>
    </xf>
    <xf numFmtId="0" fontId="11" fillId="3" borderId="1" xfId="15" applyFont="1" applyFill="1" applyBorder="1" applyAlignment="1">
      <alignment horizontal="center" vertical="center" wrapText="1"/>
    </xf>
    <xf numFmtId="176" fontId="5" fillId="0" borderId="10" xfId="0" applyNumberFormat="1" applyFont="1" applyFill="1" applyBorder="1" applyAlignment="1">
      <alignment vertical="center" wrapText="1"/>
    </xf>
    <xf numFmtId="176" fontId="5" fillId="0" borderId="10" xfId="0" applyNumberFormat="1" applyFont="1" applyFill="1" applyBorder="1" applyAlignment="1">
      <alignment vertical="center"/>
    </xf>
    <xf numFmtId="176" fontId="5" fillId="0" borderId="30" xfId="0" applyNumberFormat="1" applyFont="1" applyFill="1" applyBorder="1" applyAlignment="1">
      <alignment vertical="center"/>
    </xf>
    <xf numFmtId="176" fontId="5" fillId="0" borderId="10" xfId="0" applyNumberFormat="1" applyFont="1" applyBorder="1" applyAlignment="1">
      <alignment vertical="center"/>
    </xf>
    <xf numFmtId="176" fontId="5" fillId="0" borderId="30" xfId="0" applyNumberFormat="1" applyFont="1" applyBorder="1" applyAlignment="1">
      <alignment vertical="center"/>
    </xf>
    <xf numFmtId="176" fontId="5" fillId="0" borderId="32" xfId="0" applyNumberFormat="1" applyFont="1" applyBorder="1" applyAlignment="1">
      <alignment vertical="center"/>
    </xf>
    <xf numFmtId="176" fontId="5" fillId="0" borderId="31" xfId="0" applyNumberFormat="1" applyFont="1" applyBorder="1" applyAlignment="1">
      <alignment vertical="center"/>
    </xf>
    <xf numFmtId="176" fontId="5" fillId="0" borderId="36" xfId="0" applyNumberFormat="1" applyFont="1" applyFill="1" applyBorder="1" applyAlignment="1">
      <alignment vertical="center" wrapText="1"/>
    </xf>
    <xf numFmtId="176" fontId="5" fillId="0" borderId="36" xfId="0" applyNumberFormat="1" applyFont="1" applyFill="1" applyBorder="1" applyAlignment="1">
      <alignment vertical="center"/>
    </xf>
    <xf numFmtId="0" fontId="18" fillId="3" borderId="25" xfId="0" applyFont="1" applyFill="1" applyBorder="1" applyAlignment="1">
      <alignment vertical="center" wrapText="1"/>
    </xf>
    <xf numFmtId="49" fontId="5" fillId="3" borderId="14" xfId="0" applyNumberFormat="1" applyFont="1" applyFill="1" applyBorder="1" applyAlignment="1">
      <alignment horizontal="left" vertical="center" wrapText="1"/>
    </xf>
    <xf numFmtId="49" fontId="5" fillId="3" borderId="4" xfId="0" applyNumberFormat="1" applyFont="1" applyFill="1" applyBorder="1" applyAlignment="1">
      <alignment horizontal="left" vertical="center" wrapText="1"/>
    </xf>
    <xf numFmtId="0" fontId="4" fillId="3" borderId="4" xfId="0" applyFont="1" applyFill="1" applyBorder="1">
      <alignment vertical="center"/>
    </xf>
    <xf numFmtId="49" fontId="5" fillId="3" borderId="4" xfId="0" applyNumberFormat="1" applyFont="1" applyFill="1" applyBorder="1" applyAlignment="1">
      <alignment horizontal="center" vertical="center" wrapText="1"/>
    </xf>
    <xf numFmtId="0" fontId="5" fillId="3" borderId="4" xfId="0" applyNumberFormat="1" applyFont="1" applyFill="1" applyBorder="1" applyAlignment="1">
      <alignment horizontal="right" vertical="center" wrapText="1"/>
    </xf>
    <xf numFmtId="176" fontId="19" fillId="3" borderId="4" xfId="0" applyNumberFormat="1" applyFont="1" applyFill="1" applyBorder="1" applyAlignment="1">
      <alignment horizontal="right" vertical="center" wrapText="1"/>
    </xf>
    <xf numFmtId="0" fontId="5" fillId="3" borderId="4" xfId="0" applyNumberFormat="1" applyFont="1" applyFill="1" applyBorder="1" applyAlignment="1">
      <alignment horizontal="center" vertical="center" wrapText="1"/>
    </xf>
    <xf numFmtId="0" fontId="18" fillId="3" borderId="5" xfId="0" applyFont="1" applyFill="1" applyBorder="1" applyAlignment="1">
      <alignment vertical="center" wrapText="1"/>
    </xf>
    <xf numFmtId="176" fontId="5" fillId="3" borderId="4" xfId="0" applyNumberFormat="1" applyFont="1" applyFill="1" applyBorder="1" applyAlignment="1">
      <alignment horizontal="right" vertical="center"/>
    </xf>
    <xf numFmtId="0" fontId="11" fillId="3" borderId="1" xfId="15" applyFont="1" applyFill="1" applyBorder="1" applyAlignment="1">
      <alignment horizontal="center" vertical="center"/>
    </xf>
    <xf numFmtId="177" fontId="5" fillId="0" borderId="1" xfId="15" applyNumberFormat="1" applyFont="1" applyFill="1" applyBorder="1" applyAlignment="1">
      <alignment horizontal="right" vertical="center"/>
    </xf>
    <xf numFmtId="176" fontId="5" fillId="3" borderId="4" xfId="0" quotePrefix="1" applyNumberFormat="1" applyFont="1" applyFill="1" applyBorder="1" applyAlignment="1">
      <alignment horizontal="right" vertical="center"/>
    </xf>
    <xf numFmtId="0" fontId="4" fillId="0" borderId="45" xfId="0" applyFont="1" applyFill="1" applyBorder="1">
      <alignment vertical="center"/>
    </xf>
    <xf numFmtId="0" fontId="4" fillId="0" borderId="6" xfId="0" applyFont="1" applyFill="1" applyBorder="1" applyAlignment="1">
      <alignment horizontal="center" vertical="center"/>
    </xf>
    <xf numFmtId="49" fontId="5" fillId="3" borderId="49" xfId="0" applyNumberFormat="1" applyFont="1" applyFill="1" applyBorder="1" applyAlignment="1">
      <alignment horizontal="left" vertical="center" wrapText="1"/>
    </xf>
    <xf numFmtId="176" fontId="5" fillId="0" borderId="27" xfId="0" applyNumberFormat="1" applyFont="1" applyFill="1" applyBorder="1" applyAlignment="1">
      <alignment vertical="center" wrapText="1"/>
    </xf>
    <xf numFmtId="0" fontId="9" fillId="0" borderId="5" xfId="0" applyFont="1" applyFill="1" applyBorder="1" applyAlignment="1">
      <alignment vertical="center" wrapText="1"/>
    </xf>
    <xf numFmtId="0" fontId="5" fillId="3" borderId="1" xfId="0" applyFont="1" applyFill="1" applyBorder="1" applyAlignment="1">
      <alignment horizontal="center" vertical="center"/>
    </xf>
    <xf numFmtId="49" fontId="4" fillId="0" borderId="46" xfId="0" applyNumberFormat="1" applyFont="1" applyFill="1" applyBorder="1" applyAlignment="1">
      <alignment horizontal="left" vertical="center" wrapText="1"/>
    </xf>
    <xf numFmtId="49" fontId="5" fillId="3" borderId="44" xfId="0" applyNumberFormat="1" applyFont="1" applyFill="1" applyBorder="1" applyAlignment="1">
      <alignment horizontal="left" vertical="center" wrapText="1"/>
    </xf>
    <xf numFmtId="0" fontId="4" fillId="0" borderId="26" xfId="0" applyFont="1" applyBorder="1" applyAlignment="1">
      <alignment horizontal="center" vertical="center" wrapText="1"/>
    </xf>
    <xf numFmtId="176" fontId="5" fillId="0" borderId="31" xfId="0" applyNumberFormat="1" applyFont="1" applyFill="1" applyBorder="1" applyAlignment="1">
      <alignment vertical="center"/>
    </xf>
    <xf numFmtId="0" fontId="9" fillId="0" borderId="5" xfId="0" applyFont="1" applyFill="1" applyBorder="1" applyAlignment="1">
      <alignment horizontal="left" vertical="center" wrapText="1"/>
    </xf>
    <xf numFmtId="0" fontId="4" fillId="0" borderId="22" xfId="0" applyFont="1" applyFill="1" applyBorder="1">
      <alignment vertical="center"/>
    </xf>
    <xf numFmtId="49" fontId="5" fillId="0" borderId="22" xfId="0" applyNumberFormat="1" applyFont="1" applyFill="1" applyBorder="1" applyAlignment="1">
      <alignment horizontal="center" vertical="center" wrapText="1"/>
    </xf>
    <xf numFmtId="0" fontId="5" fillId="0" borderId="22" xfId="0" applyNumberFormat="1" applyFont="1" applyFill="1" applyBorder="1" applyAlignment="1">
      <alignment horizontal="right" vertical="center" wrapText="1"/>
    </xf>
    <xf numFmtId="176" fontId="19" fillId="0" borderId="22" xfId="0" applyNumberFormat="1" applyFont="1" applyFill="1" applyBorder="1" applyAlignment="1">
      <alignment horizontal="right" vertical="center" wrapText="1"/>
    </xf>
    <xf numFmtId="0" fontId="5" fillId="0" borderId="22" xfId="0" applyNumberFormat="1" applyFont="1" applyFill="1" applyBorder="1" applyAlignment="1">
      <alignment horizontal="center" vertical="center" wrapText="1"/>
    </xf>
    <xf numFmtId="176" fontId="5" fillId="0" borderId="22" xfId="0" applyNumberFormat="1" applyFont="1" applyFill="1" applyBorder="1" applyAlignment="1">
      <alignment horizontal="right" vertical="center"/>
    </xf>
    <xf numFmtId="0" fontId="4" fillId="0" borderId="50" xfId="0" applyFont="1" applyFill="1" applyBorder="1">
      <alignment vertical="center"/>
    </xf>
    <xf numFmtId="49" fontId="5" fillId="0" borderId="3" xfId="0" applyNumberFormat="1" applyFont="1" applyFill="1" applyBorder="1" applyAlignment="1">
      <alignment horizontal="left" vertical="center" wrapText="1"/>
    </xf>
    <xf numFmtId="49" fontId="5" fillId="0" borderId="13" xfId="0" applyNumberFormat="1" applyFont="1" applyFill="1" applyBorder="1" applyAlignment="1">
      <alignment horizontal="left" vertical="center" wrapText="1"/>
    </xf>
    <xf numFmtId="49" fontId="5" fillId="0" borderId="29" xfId="0" applyNumberFormat="1" applyFont="1" applyFill="1" applyBorder="1" applyAlignment="1">
      <alignment horizontal="left" vertical="center" wrapText="1"/>
    </xf>
    <xf numFmtId="0" fontId="4" fillId="0" borderId="6" xfId="0" applyFont="1" applyBorder="1" applyAlignment="1">
      <alignment vertical="center" wrapText="1"/>
    </xf>
    <xf numFmtId="176" fontId="5" fillId="0" borderId="2" xfId="0" quotePrefix="1" applyNumberFormat="1" applyFont="1" applyFill="1" applyBorder="1" applyAlignment="1">
      <alignment horizontal="center" vertical="center"/>
    </xf>
    <xf numFmtId="176" fontId="5" fillId="0" borderId="4" xfId="0" quotePrefix="1" applyNumberFormat="1" applyFont="1" applyFill="1" applyBorder="1" applyAlignment="1">
      <alignment horizontal="right" vertical="center"/>
    </xf>
    <xf numFmtId="49" fontId="5" fillId="3" borderId="24" xfId="0" applyNumberFormat="1" applyFont="1" applyFill="1" applyBorder="1" applyAlignment="1">
      <alignment horizontal="left" vertical="center" wrapText="1"/>
    </xf>
    <xf numFmtId="49" fontId="5" fillId="3" borderId="16" xfId="0" applyNumberFormat="1" applyFont="1" applyFill="1" applyBorder="1" applyAlignment="1">
      <alignment horizontal="left" vertical="center" wrapText="1"/>
    </xf>
    <xf numFmtId="0" fontId="4" fillId="3" borderId="16" xfId="0" applyFont="1" applyFill="1" applyBorder="1">
      <alignment vertical="center"/>
    </xf>
    <xf numFmtId="49" fontId="5" fillId="3" borderId="16" xfId="0" applyNumberFormat="1" applyFont="1" applyFill="1" applyBorder="1" applyAlignment="1">
      <alignment horizontal="center" vertical="center" wrapText="1"/>
    </xf>
    <xf numFmtId="0" fontId="5" fillId="3" borderId="16" xfId="0" applyNumberFormat="1" applyFont="1" applyFill="1" applyBorder="1" applyAlignment="1">
      <alignment horizontal="right" vertical="center" wrapText="1"/>
    </xf>
    <xf numFmtId="176" fontId="19" fillId="3" borderId="16" xfId="0" applyNumberFormat="1" applyFont="1" applyFill="1" applyBorder="1" applyAlignment="1">
      <alignment horizontal="right" vertical="center" wrapText="1"/>
    </xf>
    <xf numFmtId="0" fontId="5" fillId="3" borderId="2" xfId="0" applyNumberFormat="1" applyFont="1" applyFill="1" applyBorder="1" applyAlignment="1">
      <alignment horizontal="center" vertical="center" wrapText="1"/>
    </xf>
    <xf numFmtId="176" fontId="5" fillId="3" borderId="16" xfId="0" quotePrefix="1" applyNumberFormat="1" applyFont="1" applyFill="1" applyBorder="1" applyAlignment="1">
      <alignment horizontal="right" vertical="center"/>
    </xf>
    <xf numFmtId="176" fontId="5" fillId="3" borderId="1" xfId="0" quotePrefix="1" applyNumberFormat="1" applyFont="1" applyFill="1" applyBorder="1" applyAlignment="1">
      <alignment horizontal="right" vertical="center"/>
    </xf>
    <xf numFmtId="0" fontId="5" fillId="3" borderId="1" xfId="0" applyFont="1" applyFill="1" applyBorder="1">
      <alignment vertical="center"/>
    </xf>
    <xf numFmtId="49" fontId="5" fillId="3" borderId="45" xfId="0" applyNumberFormat="1" applyFont="1" applyFill="1" applyBorder="1" applyAlignment="1">
      <alignment horizontal="left" vertical="center" wrapText="1"/>
    </xf>
    <xf numFmtId="49" fontId="5" fillId="3" borderId="6" xfId="0" applyNumberFormat="1" applyFont="1" applyFill="1" applyBorder="1" applyAlignment="1">
      <alignment horizontal="left" vertical="center" wrapText="1"/>
    </xf>
    <xf numFmtId="0" fontId="5" fillId="3" borderId="6" xfId="0" applyFont="1" applyFill="1" applyBorder="1">
      <alignment vertical="center"/>
    </xf>
    <xf numFmtId="49" fontId="5" fillId="3" borderId="6" xfId="0" applyNumberFormat="1" applyFont="1" applyFill="1" applyBorder="1" applyAlignment="1">
      <alignment horizontal="center" vertical="center" wrapText="1"/>
    </xf>
    <xf numFmtId="0" fontId="5" fillId="3" borderId="6" xfId="0" applyNumberFormat="1" applyFont="1" applyFill="1" applyBorder="1" applyAlignment="1">
      <alignment horizontal="right" vertical="center" wrapText="1"/>
    </xf>
    <xf numFmtId="176" fontId="19" fillId="3" borderId="6" xfId="0" applyNumberFormat="1" applyFont="1" applyFill="1" applyBorder="1" applyAlignment="1">
      <alignment horizontal="right" vertical="center" wrapText="1"/>
    </xf>
    <xf numFmtId="0" fontId="5" fillId="3" borderId="6" xfId="0" applyNumberFormat="1" applyFont="1" applyFill="1" applyBorder="1" applyAlignment="1">
      <alignment horizontal="center" vertical="center" wrapText="1"/>
    </xf>
    <xf numFmtId="176" fontId="5" fillId="3" borderId="6" xfId="0" quotePrefix="1" applyNumberFormat="1" applyFont="1" applyFill="1" applyBorder="1" applyAlignment="1">
      <alignment horizontal="right" vertical="center"/>
    </xf>
    <xf numFmtId="0" fontId="18" fillId="3" borderId="7" xfId="0" applyFont="1" applyFill="1" applyBorder="1" applyAlignment="1">
      <alignment vertical="center" wrapText="1"/>
    </xf>
    <xf numFmtId="49" fontId="5" fillId="4" borderId="12" xfId="0" applyNumberFormat="1" applyFont="1" applyFill="1" applyBorder="1" applyAlignment="1">
      <alignment horizontal="left" vertical="center" wrapText="1"/>
    </xf>
    <xf numFmtId="49" fontId="5" fillId="4" borderId="1" xfId="0" applyNumberFormat="1" applyFont="1" applyFill="1" applyBorder="1" applyAlignment="1">
      <alignment horizontal="left" vertical="center" wrapText="1"/>
    </xf>
    <xf numFmtId="0" fontId="5" fillId="4" borderId="1" xfId="0" applyFont="1" applyFill="1" applyBorder="1">
      <alignment vertical="center"/>
    </xf>
    <xf numFmtId="49" fontId="5" fillId="4" borderId="1" xfId="0" applyNumberFormat="1" applyFont="1" applyFill="1" applyBorder="1" applyAlignment="1">
      <alignment horizontal="center" vertical="center" wrapText="1"/>
    </xf>
    <xf numFmtId="0" fontId="5" fillId="4" borderId="1" xfId="0" applyNumberFormat="1" applyFont="1" applyFill="1" applyBorder="1" applyAlignment="1">
      <alignment horizontal="right" vertical="center" wrapText="1"/>
    </xf>
    <xf numFmtId="176" fontId="19" fillId="4" borderId="1" xfId="0" applyNumberFormat="1" applyFont="1" applyFill="1" applyBorder="1" applyAlignment="1">
      <alignment horizontal="right" vertical="center" wrapText="1"/>
    </xf>
    <xf numFmtId="0" fontId="5" fillId="4" borderId="1" xfId="0" applyNumberFormat="1" applyFont="1" applyFill="1" applyBorder="1" applyAlignment="1">
      <alignment horizontal="center" vertical="center" wrapText="1"/>
    </xf>
    <xf numFmtId="176" fontId="5" fillId="4" borderId="1" xfId="0" applyNumberFormat="1" applyFont="1" applyFill="1" applyBorder="1" applyAlignment="1">
      <alignment horizontal="right" vertical="center"/>
    </xf>
    <xf numFmtId="0" fontId="18" fillId="4" borderId="8" xfId="0" applyFont="1" applyFill="1" applyBorder="1" applyAlignment="1">
      <alignment vertical="center" wrapText="1"/>
    </xf>
    <xf numFmtId="49" fontId="5" fillId="4" borderId="14" xfId="0" applyNumberFormat="1" applyFont="1" applyFill="1" applyBorder="1" applyAlignment="1">
      <alignment horizontal="left" vertical="center" wrapText="1"/>
    </xf>
    <xf numFmtId="49" fontId="5" fillId="4" borderId="4" xfId="0" applyNumberFormat="1" applyFont="1" applyFill="1" applyBorder="1" applyAlignment="1">
      <alignment horizontal="left" vertical="center" wrapText="1"/>
    </xf>
    <xf numFmtId="0" fontId="4" fillId="4" borderId="4" xfId="0" applyFont="1" applyFill="1" applyBorder="1">
      <alignment vertical="center"/>
    </xf>
    <xf numFmtId="49" fontId="5" fillId="4" borderId="4" xfId="0" applyNumberFormat="1" applyFont="1" applyFill="1" applyBorder="1" applyAlignment="1">
      <alignment horizontal="center" vertical="center" wrapText="1"/>
    </xf>
    <xf numFmtId="0" fontId="5" fillId="4" borderId="4" xfId="0" applyNumberFormat="1" applyFont="1" applyFill="1" applyBorder="1" applyAlignment="1">
      <alignment horizontal="right" vertical="center" wrapText="1"/>
    </xf>
    <xf numFmtId="176" fontId="19" fillId="4" borderId="4" xfId="0" applyNumberFormat="1" applyFont="1" applyFill="1" applyBorder="1" applyAlignment="1">
      <alignment horizontal="right" vertical="center" wrapText="1"/>
    </xf>
    <xf numFmtId="0" fontId="5" fillId="4" borderId="4" xfId="0" applyNumberFormat="1" applyFont="1" applyFill="1" applyBorder="1" applyAlignment="1">
      <alignment horizontal="center" vertical="center" wrapText="1"/>
    </xf>
    <xf numFmtId="176" fontId="5" fillId="4" borderId="4" xfId="0" applyNumberFormat="1" applyFont="1" applyFill="1" applyBorder="1" applyAlignment="1">
      <alignment horizontal="right" vertical="center"/>
    </xf>
    <xf numFmtId="0" fontId="18" fillId="4" borderId="5" xfId="0" applyFont="1" applyFill="1" applyBorder="1" applyAlignment="1">
      <alignment vertical="center" wrapText="1"/>
    </xf>
    <xf numFmtId="0" fontId="4" fillId="4" borderId="1" xfId="0" applyFont="1" applyFill="1" applyBorder="1">
      <alignment vertical="center"/>
    </xf>
    <xf numFmtId="49" fontId="5" fillId="4" borderId="15" xfId="0" applyNumberFormat="1" applyFont="1" applyFill="1" applyBorder="1" applyAlignment="1">
      <alignment horizontal="left" vertical="center" wrapText="1"/>
    </xf>
    <xf numFmtId="49" fontId="5" fillId="4" borderId="6" xfId="0" applyNumberFormat="1" applyFont="1" applyFill="1" applyBorder="1" applyAlignment="1">
      <alignment horizontal="left" vertical="center" wrapText="1"/>
    </xf>
    <xf numFmtId="0" fontId="4" fillId="4" borderId="6" xfId="0" applyFont="1" applyFill="1" applyBorder="1">
      <alignment vertical="center"/>
    </xf>
    <xf numFmtId="49" fontId="5" fillId="4" borderId="6" xfId="0" applyNumberFormat="1" applyFont="1" applyFill="1" applyBorder="1" applyAlignment="1">
      <alignment horizontal="center" vertical="center" wrapText="1"/>
    </xf>
    <xf numFmtId="0" fontId="5" fillId="4" borderId="6" xfId="0" applyNumberFormat="1" applyFont="1" applyFill="1" applyBorder="1" applyAlignment="1">
      <alignment horizontal="right" vertical="center" wrapText="1"/>
    </xf>
    <xf numFmtId="176" fontId="19" fillId="4" borderId="6" xfId="0" applyNumberFormat="1" applyFont="1" applyFill="1" applyBorder="1" applyAlignment="1">
      <alignment horizontal="right" vertical="center" wrapText="1"/>
    </xf>
    <xf numFmtId="0" fontId="5" fillId="4" borderId="6" xfId="0" quotePrefix="1" applyFont="1" applyFill="1" applyBorder="1" applyAlignment="1">
      <alignment horizontal="center" vertical="center"/>
    </xf>
    <xf numFmtId="0" fontId="4" fillId="4" borderId="6" xfId="0" quotePrefix="1" applyFont="1" applyFill="1" applyBorder="1" applyAlignment="1">
      <alignment horizontal="right" vertical="center"/>
    </xf>
    <xf numFmtId="0" fontId="18" fillId="4" borderId="7" xfId="0" applyFont="1" applyFill="1" applyBorder="1" applyAlignment="1">
      <alignment horizontal="left" vertical="center" wrapText="1"/>
    </xf>
    <xf numFmtId="49" fontId="5" fillId="4" borderId="44" xfId="0" applyNumberFormat="1" applyFont="1" applyFill="1" applyBorder="1" applyAlignment="1">
      <alignment horizontal="left" vertical="center" wrapText="1"/>
    </xf>
    <xf numFmtId="49" fontId="5" fillId="4" borderId="16" xfId="0" applyNumberFormat="1" applyFont="1" applyFill="1" applyBorder="1" applyAlignment="1">
      <alignment horizontal="left" vertical="center" wrapText="1"/>
    </xf>
    <xf numFmtId="0" fontId="4" fillId="4" borderId="16" xfId="0" applyFont="1" applyFill="1" applyBorder="1">
      <alignment vertical="center"/>
    </xf>
    <xf numFmtId="49" fontId="5" fillId="4" borderId="16" xfId="0" applyNumberFormat="1" applyFont="1" applyFill="1" applyBorder="1" applyAlignment="1">
      <alignment horizontal="center" vertical="center" wrapText="1"/>
    </xf>
    <xf numFmtId="0" fontId="5" fillId="4" borderId="16" xfId="0" applyNumberFormat="1" applyFont="1" applyFill="1" applyBorder="1" applyAlignment="1">
      <alignment horizontal="right" vertical="center" wrapText="1"/>
    </xf>
    <xf numFmtId="176" fontId="19" fillId="4" borderId="16" xfId="0" applyNumberFormat="1" applyFont="1" applyFill="1" applyBorder="1" applyAlignment="1">
      <alignment horizontal="right" vertical="center" wrapText="1"/>
    </xf>
    <xf numFmtId="0" fontId="5" fillId="4" borderId="16" xfId="0" applyNumberFormat="1" applyFont="1" applyFill="1" applyBorder="1" applyAlignment="1">
      <alignment horizontal="center" vertical="center" wrapText="1"/>
    </xf>
    <xf numFmtId="176" fontId="5" fillId="4" borderId="16" xfId="0" applyNumberFormat="1" applyFont="1" applyFill="1" applyBorder="1" applyAlignment="1">
      <alignment horizontal="right" vertical="center"/>
    </xf>
    <xf numFmtId="0" fontId="18" fillId="4" borderId="25" xfId="0" applyFont="1" applyFill="1" applyBorder="1" applyAlignment="1">
      <alignment vertical="center" wrapText="1"/>
    </xf>
    <xf numFmtId="176" fontId="19" fillId="0" borderId="20" xfId="15" quotePrefix="1" applyNumberFormat="1" applyFont="1" applyFill="1" applyBorder="1" applyAlignment="1">
      <alignment horizontal="right" vertical="center" wrapText="1"/>
    </xf>
    <xf numFmtId="176" fontId="5" fillId="3" borderId="1" xfId="15" quotePrefix="1" applyNumberFormat="1" applyFont="1" applyFill="1" applyBorder="1" applyAlignment="1">
      <alignment horizontal="right" vertical="center"/>
    </xf>
    <xf numFmtId="0" fontId="21" fillId="0" borderId="0" xfId="15" applyFont="1" applyBorder="1" applyAlignment="1">
      <alignment horizontal="left"/>
    </xf>
    <xf numFmtId="0" fontId="6" fillId="0" borderId="51"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52" xfId="0" applyFont="1" applyBorder="1" applyAlignment="1">
      <alignment horizontal="center" vertical="center" wrapText="1"/>
    </xf>
    <xf numFmtId="0" fontId="13" fillId="0" borderId="0" xfId="0" applyFont="1" applyBorder="1" applyAlignment="1">
      <alignment horizontal="left" vertical="center" wrapText="1"/>
    </xf>
    <xf numFmtId="0" fontId="13" fillId="0" borderId="0" xfId="0" applyFont="1" applyBorder="1" applyAlignment="1">
      <alignment horizontal="left" vertical="center"/>
    </xf>
    <xf numFmtId="0" fontId="17" fillId="0" borderId="0" xfId="0" applyFont="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22" xfId="0" applyFont="1" applyFill="1" applyBorder="1" applyAlignment="1">
      <alignment horizontal="center" vertical="center"/>
    </xf>
    <xf numFmtId="176" fontId="3" fillId="2" borderId="9" xfId="0" applyNumberFormat="1" applyFont="1" applyFill="1" applyBorder="1" applyAlignment="1">
      <alignment horizontal="center" vertical="center" wrapText="1"/>
    </xf>
    <xf numFmtId="176" fontId="3" fillId="2" borderId="22" xfId="0" applyNumberFormat="1" applyFont="1" applyFill="1" applyBorder="1" applyAlignment="1">
      <alignment horizontal="center" vertical="center"/>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41" xfId="0" applyFont="1" applyBorder="1" applyAlignment="1">
      <alignment horizontal="center" vertical="center" wrapText="1"/>
    </xf>
    <xf numFmtId="0" fontId="3" fillId="2" borderId="3" xfId="0" applyFont="1" applyFill="1" applyBorder="1" applyAlignment="1">
      <alignment horizontal="center" vertical="center"/>
    </xf>
    <xf numFmtId="0" fontId="3" fillId="2" borderId="13" xfId="0" applyFont="1" applyFill="1" applyBorder="1" applyAlignment="1">
      <alignment horizontal="center" vertical="center"/>
    </xf>
    <xf numFmtId="0" fontId="6" fillId="0" borderId="42" xfId="0" applyFont="1" applyBorder="1" applyAlignment="1">
      <alignment horizontal="center" vertical="center" wrapText="1"/>
    </xf>
    <xf numFmtId="0" fontId="6" fillId="0" borderId="39"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47" xfId="0" applyFont="1" applyBorder="1" applyAlignment="1">
      <alignment horizontal="center" vertical="center" wrapText="1"/>
    </xf>
    <xf numFmtId="0" fontId="6" fillId="0" borderId="48"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9" xfId="0" applyFont="1" applyBorder="1" applyAlignment="1">
      <alignment horizontal="center" vertical="center" wrapText="1"/>
    </xf>
    <xf numFmtId="0" fontId="3" fillId="2" borderId="26" xfId="0" applyFont="1" applyFill="1" applyBorder="1" applyAlignment="1">
      <alignment horizontal="center" vertical="center" wrapText="1"/>
    </xf>
    <xf numFmtId="0" fontId="3" fillId="2" borderId="28" xfId="0" applyFont="1" applyFill="1" applyBorder="1" applyAlignment="1">
      <alignment horizontal="center" vertical="center" wrapText="1"/>
    </xf>
    <xf numFmtId="0" fontId="3" fillId="2" borderId="23" xfId="0" applyFont="1" applyFill="1" applyBorder="1" applyAlignment="1">
      <alignment horizontal="center" vertical="center"/>
    </xf>
    <xf numFmtId="0" fontId="3" fillId="2" borderId="31" xfId="0" applyFont="1" applyFill="1" applyBorder="1" applyAlignment="1">
      <alignment horizontal="center" vertical="center"/>
    </xf>
    <xf numFmtId="0" fontId="3" fillId="2" borderId="38" xfId="0" applyFont="1" applyFill="1" applyBorder="1" applyAlignment="1">
      <alignment horizontal="center" vertical="center"/>
    </xf>
    <xf numFmtId="0" fontId="3" fillId="2" borderId="14" xfId="0" applyFont="1" applyFill="1" applyBorder="1" applyAlignment="1">
      <alignment horizontal="center" vertical="center"/>
    </xf>
    <xf numFmtId="0" fontId="8" fillId="0" borderId="1" xfId="15" applyFont="1" applyBorder="1" applyAlignment="1">
      <alignment horizontal="center" vertical="center" wrapText="1"/>
    </xf>
    <xf numFmtId="176" fontId="14" fillId="2" borderId="9" xfId="0" applyNumberFormat="1" applyFont="1" applyFill="1" applyBorder="1" applyAlignment="1">
      <alignment horizontal="center" vertical="center"/>
    </xf>
    <xf numFmtId="0" fontId="10" fillId="0" borderId="21" xfId="0" applyFont="1" applyBorder="1" applyAlignment="1">
      <alignment horizontal="center" vertical="center"/>
    </xf>
    <xf numFmtId="0" fontId="14" fillId="2" borderId="2" xfId="15" applyFont="1" applyFill="1" applyBorder="1" applyAlignment="1">
      <alignment horizontal="center" vertical="center"/>
    </xf>
    <xf numFmtId="0" fontId="3" fillId="2" borderId="16" xfId="15" applyFont="1" applyFill="1" applyBorder="1" applyAlignment="1">
      <alignment horizontal="center" vertical="center"/>
    </xf>
    <xf numFmtId="176" fontId="14" fillId="2" borderId="10" xfId="15" applyNumberFormat="1" applyFont="1" applyFill="1" applyBorder="1" applyAlignment="1">
      <alignment horizontal="center" vertical="center"/>
    </xf>
    <xf numFmtId="176" fontId="14" fillId="2" borderId="11" xfId="15" applyNumberFormat="1" applyFont="1" applyFill="1" applyBorder="1" applyAlignment="1">
      <alignment horizontal="center" vertical="center"/>
    </xf>
    <xf numFmtId="176" fontId="14" fillId="2" borderId="12" xfId="15" applyNumberFormat="1" applyFont="1" applyFill="1" applyBorder="1" applyAlignment="1">
      <alignment horizontal="center" vertical="center"/>
    </xf>
  </cellXfs>
  <cellStyles count="85">
    <cellStyle name="一般" xfId="0" builtinId="0"/>
    <cellStyle name="一般 10" xfId="15"/>
    <cellStyle name="一般 11" xfId="14"/>
    <cellStyle name="一般 12" xfId="13"/>
    <cellStyle name="一般 13" xfId="12"/>
    <cellStyle name="一般 14" xfId="11"/>
    <cellStyle name="一般 15" xfId="10"/>
    <cellStyle name="一般 16" xfId="9"/>
    <cellStyle name="一般 17" xfId="8"/>
    <cellStyle name="一般 18" xfId="7"/>
    <cellStyle name="一般 19" xfId="6"/>
    <cellStyle name="一般 2" xfId="23"/>
    <cellStyle name="一般 20" xfId="5"/>
    <cellStyle name="一般 21" xfId="4"/>
    <cellStyle name="一般 22" xfId="3"/>
    <cellStyle name="一般 23" xfId="2"/>
    <cellStyle name="一般 24" xfId="1"/>
    <cellStyle name="一般 25" xfId="36"/>
    <cellStyle name="一般 26" xfId="35"/>
    <cellStyle name="一般 27" xfId="83"/>
    <cellStyle name="一般 28" xfId="75"/>
    <cellStyle name="一般 29" xfId="74"/>
    <cellStyle name="一般 3" xfId="22"/>
    <cellStyle name="一般 30" xfId="73"/>
    <cellStyle name="一般 31" xfId="50"/>
    <cellStyle name="一般 32" xfId="49"/>
    <cellStyle name="一般 33" xfId="72"/>
    <cellStyle name="一般 34" xfId="71"/>
    <cellStyle name="一般 35" xfId="70"/>
    <cellStyle name="一般 36" xfId="69"/>
    <cellStyle name="一般 37" xfId="68"/>
    <cellStyle name="一般 38" xfId="67"/>
    <cellStyle name="一般 39" xfId="66"/>
    <cellStyle name="一般 4" xfId="21"/>
    <cellStyle name="一般 40" xfId="48"/>
    <cellStyle name="一般 41" xfId="47"/>
    <cellStyle name="一般 42" xfId="46"/>
    <cellStyle name="一般 43" xfId="45"/>
    <cellStyle name="一般 44" xfId="44"/>
    <cellStyle name="一般 45" xfId="65"/>
    <cellStyle name="一般 46" xfId="64"/>
    <cellStyle name="一般 47" xfId="63"/>
    <cellStyle name="一般 48" xfId="62"/>
    <cellStyle name="一般 49" xfId="61"/>
    <cellStyle name="一般 5" xfId="20"/>
    <cellStyle name="一般 50" xfId="60"/>
    <cellStyle name="一般 51" xfId="59"/>
    <cellStyle name="一般 52" xfId="43"/>
    <cellStyle name="一般 53" xfId="42"/>
    <cellStyle name="一般 54" xfId="41"/>
    <cellStyle name="一般 55" xfId="58"/>
    <cellStyle name="一般 56" xfId="57"/>
    <cellStyle name="一般 57" xfId="56"/>
    <cellStyle name="一般 58" xfId="55"/>
    <cellStyle name="一般 59" xfId="54"/>
    <cellStyle name="一般 6" xfId="19"/>
    <cellStyle name="一般 60" xfId="53"/>
    <cellStyle name="一般 61" xfId="52"/>
    <cellStyle name="一般 62" xfId="51"/>
    <cellStyle name="一般 63" xfId="30"/>
    <cellStyle name="一般 64" xfId="29"/>
    <cellStyle name="一般 65" xfId="28"/>
    <cellStyle name="一般 66" xfId="27"/>
    <cellStyle name="一般 67" xfId="26"/>
    <cellStyle name="一般 68" xfId="25"/>
    <cellStyle name="一般 69" xfId="40"/>
    <cellStyle name="一般 7" xfId="18"/>
    <cellStyle name="一般 70" xfId="39"/>
    <cellStyle name="一般 71" xfId="32"/>
    <cellStyle name="一般 72" xfId="31"/>
    <cellStyle name="一般 73" xfId="38"/>
    <cellStyle name="一般 74" xfId="37"/>
    <cellStyle name="一般 75" xfId="34"/>
    <cellStyle name="一般 76" xfId="33"/>
    <cellStyle name="一般 77" xfId="76"/>
    <cellStyle name="一般 78" xfId="77"/>
    <cellStyle name="一般 79" xfId="78"/>
    <cellStyle name="一般 8" xfId="17"/>
    <cellStyle name="一般 80" xfId="79"/>
    <cellStyle name="一般 81" xfId="80"/>
    <cellStyle name="一般 82" xfId="81"/>
    <cellStyle name="一般 83" xfId="82"/>
    <cellStyle name="一般 84" xfId="24"/>
    <cellStyle name="一般 85" xfId="84"/>
    <cellStyle name="一般 9" xfId="16"/>
  </cellStyles>
  <dxfs count="0"/>
  <tableStyles count="0" defaultTableStyle="TableStyleMedium2" defaultPivotStyle="PivotStyleLight16"/>
  <colors>
    <mruColors>
      <color rgb="FFFFFFCC"/>
      <color rgb="FFFFFF99"/>
      <color rgb="FF0000FF"/>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pageSetUpPr fitToPage="1"/>
  </sheetPr>
  <dimension ref="A1:O142"/>
  <sheetViews>
    <sheetView tabSelected="1" zoomScaleNormal="100" workbookViewId="0">
      <pane xSplit="1" ySplit="4" topLeftCell="B5" activePane="bottomRight" state="frozen"/>
      <selection activeCell="A2" sqref="A2:A6"/>
      <selection pane="topRight" activeCell="A2" sqref="A2:A6"/>
      <selection pane="bottomLeft" activeCell="A2" sqref="A2:A6"/>
      <selection pane="bottomRight" sqref="A1:N1"/>
    </sheetView>
  </sheetViews>
  <sheetFormatPr defaultColWidth="9" defaultRowHeight="18" x14ac:dyDescent="0.3"/>
  <cols>
    <col min="1" max="1" width="13.21875" style="1" customWidth="1"/>
    <col min="2" max="2" width="21.21875" style="1" customWidth="1"/>
    <col min="3" max="3" width="53.88671875" style="1" customWidth="1"/>
    <col min="4" max="4" width="15.21875" style="1" customWidth="1"/>
    <col min="5" max="5" width="13.109375" style="1" customWidth="1"/>
    <col min="6" max="6" width="13.77734375" style="1" customWidth="1"/>
    <col min="7" max="7" width="8.21875" style="1" customWidth="1"/>
    <col min="8" max="9" width="11" style="56" customWidth="1"/>
    <col min="10" max="10" width="11" style="57" customWidth="1"/>
    <col min="11" max="12" width="11.21875" style="34" customWidth="1"/>
    <col min="13" max="13" width="11.21875" style="58" customWidth="1"/>
    <col min="14" max="16384" width="9" style="1"/>
  </cols>
  <sheetData>
    <row r="1" spans="1:14" ht="25.8" x14ac:dyDescent="0.3">
      <c r="A1" s="250" t="s">
        <v>530</v>
      </c>
      <c r="B1" s="250"/>
      <c r="C1" s="250"/>
      <c r="D1" s="250"/>
      <c r="E1" s="250"/>
      <c r="F1" s="250"/>
      <c r="G1" s="250"/>
      <c r="H1" s="250"/>
      <c r="I1" s="250"/>
      <c r="J1" s="250"/>
      <c r="K1" s="250"/>
      <c r="L1" s="250"/>
      <c r="M1" s="250"/>
      <c r="N1" s="250"/>
    </row>
    <row r="2" spans="1:14" ht="76.5" customHeight="1" thickBot="1" x14ac:dyDescent="0.35">
      <c r="A2" s="248" t="s">
        <v>527</v>
      </c>
      <c r="B2" s="249"/>
      <c r="C2" s="249"/>
      <c r="D2" s="249"/>
      <c r="E2" s="249"/>
      <c r="F2" s="249"/>
      <c r="G2" s="249"/>
      <c r="H2" s="249"/>
      <c r="I2" s="249"/>
      <c r="J2" s="249"/>
      <c r="K2" s="249"/>
      <c r="L2" s="249"/>
      <c r="M2" s="249"/>
      <c r="N2" s="249"/>
    </row>
    <row r="3" spans="1:14" x14ac:dyDescent="0.3">
      <c r="A3" s="263" t="s">
        <v>159</v>
      </c>
      <c r="B3" s="253" t="s">
        <v>0</v>
      </c>
      <c r="C3" s="253" t="s">
        <v>1</v>
      </c>
      <c r="D3" s="253" t="s">
        <v>129</v>
      </c>
      <c r="E3" s="253" t="s">
        <v>130</v>
      </c>
      <c r="F3" s="253" t="s">
        <v>160</v>
      </c>
      <c r="G3" s="253" t="s">
        <v>2</v>
      </c>
      <c r="H3" s="253" t="s">
        <v>535</v>
      </c>
      <c r="I3" s="253"/>
      <c r="J3" s="253"/>
      <c r="K3" s="255" t="s">
        <v>268</v>
      </c>
      <c r="L3" s="257" t="s">
        <v>437</v>
      </c>
      <c r="M3" s="257" t="s">
        <v>438</v>
      </c>
      <c r="N3" s="251" t="s">
        <v>439</v>
      </c>
    </row>
    <row r="4" spans="1:14" ht="18.600000000000001" thickBot="1" x14ac:dyDescent="0.35">
      <c r="A4" s="264"/>
      <c r="B4" s="254"/>
      <c r="C4" s="254"/>
      <c r="D4" s="254"/>
      <c r="E4" s="254"/>
      <c r="F4" s="254"/>
      <c r="G4" s="254"/>
      <c r="H4" s="47" t="s">
        <v>3</v>
      </c>
      <c r="I4" s="47" t="s">
        <v>4</v>
      </c>
      <c r="J4" s="46" t="s">
        <v>5</v>
      </c>
      <c r="K4" s="256"/>
      <c r="L4" s="258"/>
      <c r="M4" s="258"/>
      <c r="N4" s="252"/>
    </row>
    <row r="5" spans="1:14" ht="27.9" customHeight="1" x14ac:dyDescent="0.3">
      <c r="A5" s="259" t="s">
        <v>325</v>
      </c>
      <c r="B5" s="20" t="s">
        <v>416</v>
      </c>
      <c r="C5" s="2" t="s">
        <v>427</v>
      </c>
      <c r="D5" s="105" t="s">
        <v>422</v>
      </c>
      <c r="E5" s="105" t="s">
        <v>324</v>
      </c>
      <c r="F5" s="105" t="s">
        <v>154</v>
      </c>
      <c r="G5" s="4" t="s">
        <v>7</v>
      </c>
      <c r="H5" s="5">
        <v>132</v>
      </c>
      <c r="I5" s="5">
        <v>5403</v>
      </c>
      <c r="J5" s="112">
        <v>2.44</v>
      </c>
      <c r="K5" s="36" t="s">
        <v>442</v>
      </c>
      <c r="L5" s="106">
        <v>2.98</v>
      </c>
      <c r="M5" s="106">
        <v>2.67</v>
      </c>
      <c r="N5" s="91" t="s">
        <v>266</v>
      </c>
    </row>
    <row r="6" spans="1:14" ht="27.9" customHeight="1" x14ac:dyDescent="0.3">
      <c r="A6" s="260"/>
      <c r="B6" s="21" t="s">
        <v>18</v>
      </c>
      <c r="C6" s="6" t="s">
        <v>312</v>
      </c>
      <c r="D6" s="7" t="s">
        <v>136</v>
      </c>
      <c r="E6" s="7" t="s">
        <v>137</v>
      </c>
      <c r="F6" s="7" t="s">
        <v>362</v>
      </c>
      <c r="G6" s="8" t="s">
        <v>7</v>
      </c>
      <c r="H6" s="9">
        <v>132</v>
      </c>
      <c r="I6" s="9">
        <v>5403</v>
      </c>
      <c r="J6" s="92">
        <v>2.44</v>
      </c>
      <c r="K6" s="19" t="s">
        <v>305</v>
      </c>
      <c r="L6" s="43" t="s">
        <v>265</v>
      </c>
      <c r="M6" s="43" t="s">
        <v>265</v>
      </c>
      <c r="N6" s="87" t="s">
        <v>266</v>
      </c>
    </row>
    <row r="7" spans="1:14" ht="27.9" customHeight="1" thickBot="1" x14ac:dyDescent="0.35">
      <c r="A7" s="261"/>
      <c r="B7" s="22" t="s">
        <v>19</v>
      </c>
      <c r="C7" s="10" t="s">
        <v>20</v>
      </c>
      <c r="D7" s="11" t="s">
        <v>138</v>
      </c>
      <c r="E7" s="11" t="s">
        <v>137</v>
      </c>
      <c r="F7" s="11" t="s">
        <v>154</v>
      </c>
      <c r="G7" s="12" t="s">
        <v>7</v>
      </c>
      <c r="H7" s="13">
        <v>9</v>
      </c>
      <c r="I7" s="13">
        <v>5271</v>
      </c>
      <c r="J7" s="93">
        <v>0.17</v>
      </c>
      <c r="K7" s="132" t="s">
        <v>441</v>
      </c>
      <c r="L7" s="44">
        <v>1.39</v>
      </c>
      <c r="M7" s="44">
        <v>0.99</v>
      </c>
      <c r="N7" s="87" t="s">
        <v>266</v>
      </c>
    </row>
    <row r="8" spans="1:14" ht="27.9" customHeight="1" x14ac:dyDescent="0.3">
      <c r="A8" s="259" t="s">
        <v>348</v>
      </c>
      <c r="B8" s="150" t="s">
        <v>21</v>
      </c>
      <c r="C8" s="151" t="s">
        <v>487</v>
      </c>
      <c r="D8" s="152" t="s">
        <v>140</v>
      </c>
      <c r="E8" s="152" t="s">
        <v>133</v>
      </c>
      <c r="F8" s="152" t="s">
        <v>154</v>
      </c>
      <c r="G8" s="153" t="s">
        <v>7</v>
      </c>
      <c r="H8" s="16">
        <v>47</v>
      </c>
      <c r="I8" s="16">
        <v>389</v>
      </c>
      <c r="J8" s="94">
        <v>12.08</v>
      </c>
      <c r="K8" s="133" t="s">
        <v>263</v>
      </c>
      <c r="L8" s="158">
        <v>11.85</v>
      </c>
      <c r="M8" s="158">
        <v>10.82</v>
      </c>
      <c r="N8" s="157" t="s">
        <v>440</v>
      </c>
    </row>
    <row r="9" spans="1:14" ht="27.9" customHeight="1" x14ac:dyDescent="0.3">
      <c r="A9" s="260"/>
      <c r="B9" s="21" t="s">
        <v>22</v>
      </c>
      <c r="C9" s="6" t="s">
        <v>23</v>
      </c>
      <c r="D9" s="7" t="s">
        <v>140</v>
      </c>
      <c r="E9" s="7" t="s">
        <v>133</v>
      </c>
      <c r="F9" s="7" t="s">
        <v>305</v>
      </c>
      <c r="G9" s="8" t="s">
        <v>7</v>
      </c>
      <c r="H9" s="9">
        <v>45</v>
      </c>
      <c r="I9" s="9">
        <v>389</v>
      </c>
      <c r="J9" s="92">
        <v>11.57</v>
      </c>
      <c r="K9" s="19" t="s">
        <v>305</v>
      </c>
      <c r="L9" s="39" t="s">
        <v>265</v>
      </c>
      <c r="M9" s="39" t="s">
        <v>265</v>
      </c>
      <c r="N9" s="87" t="s">
        <v>266</v>
      </c>
    </row>
    <row r="10" spans="1:14" ht="27.9" customHeight="1" x14ac:dyDescent="0.3">
      <c r="A10" s="260"/>
      <c r="B10" s="40" t="s">
        <v>24</v>
      </c>
      <c r="C10" s="14" t="s">
        <v>357</v>
      </c>
      <c r="D10" s="41" t="s">
        <v>140</v>
      </c>
      <c r="E10" s="41" t="s">
        <v>133</v>
      </c>
      <c r="F10" s="41" t="s">
        <v>154</v>
      </c>
      <c r="G10" s="15" t="s">
        <v>7</v>
      </c>
      <c r="H10" s="16">
        <v>17</v>
      </c>
      <c r="I10" s="16">
        <v>317</v>
      </c>
      <c r="J10" s="94">
        <v>5.36</v>
      </c>
      <c r="K10" s="167" t="s">
        <v>498</v>
      </c>
      <c r="L10" s="42">
        <v>5.32</v>
      </c>
      <c r="M10" s="42">
        <v>4.59</v>
      </c>
      <c r="N10" s="90" t="s">
        <v>440</v>
      </c>
    </row>
    <row r="11" spans="1:14" ht="36.6" thickBot="1" x14ac:dyDescent="0.35">
      <c r="A11" s="261"/>
      <c r="B11" s="168" t="s">
        <v>352</v>
      </c>
      <c r="C11" s="115" t="s">
        <v>415</v>
      </c>
      <c r="D11" s="116" t="s">
        <v>139</v>
      </c>
      <c r="E11" s="116" t="s">
        <v>133</v>
      </c>
      <c r="F11" s="116" t="s">
        <v>154</v>
      </c>
      <c r="G11" s="117" t="s">
        <v>7</v>
      </c>
      <c r="H11" s="118">
        <v>1</v>
      </c>
      <c r="I11" s="118">
        <v>317</v>
      </c>
      <c r="J11" s="119">
        <v>0.32</v>
      </c>
      <c r="K11" s="135" t="s">
        <v>488</v>
      </c>
      <c r="L11" s="120">
        <v>0.94</v>
      </c>
      <c r="M11" s="120">
        <v>0.77</v>
      </c>
      <c r="N11" s="121" t="s">
        <v>266</v>
      </c>
    </row>
    <row r="12" spans="1:14" ht="27.9" customHeight="1" x14ac:dyDescent="0.3">
      <c r="A12" s="265" t="s">
        <v>349</v>
      </c>
      <c r="B12" s="180" t="s">
        <v>168</v>
      </c>
      <c r="C12" s="2" t="s">
        <v>358</v>
      </c>
      <c r="D12" s="3" t="s">
        <v>500</v>
      </c>
      <c r="E12" s="3" t="s">
        <v>133</v>
      </c>
      <c r="F12" s="3" t="s">
        <v>154</v>
      </c>
      <c r="G12" s="4" t="s">
        <v>9</v>
      </c>
      <c r="H12" s="5">
        <v>2</v>
      </c>
      <c r="I12" s="5">
        <v>1148</v>
      </c>
      <c r="J12" s="95">
        <v>1.74</v>
      </c>
      <c r="K12" s="36" t="s">
        <v>263</v>
      </c>
      <c r="L12" s="185">
        <v>4.4400000000000004</v>
      </c>
      <c r="M12" s="185">
        <v>3.91</v>
      </c>
      <c r="N12" s="91" t="s">
        <v>266</v>
      </c>
    </row>
    <row r="13" spans="1:14" ht="27.9" customHeight="1" x14ac:dyDescent="0.3">
      <c r="A13" s="268"/>
      <c r="B13" s="122" t="s">
        <v>59</v>
      </c>
      <c r="C13" s="6" t="s">
        <v>332</v>
      </c>
      <c r="D13" s="7" t="s">
        <v>500</v>
      </c>
      <c r="E13" s="7" t="s">
        <v>133</v>
      </c>
      <c r="F13" s="7" t="s">
        <v>273</v>
      </c>
      <c r="G13" s="8" t="s">
        <v>7</v>
      </c>
      <c r="H13" s="9">
        <v>1148</v>
      </c>
      <c r="I13" s="9">
        <v>1428</v>
      </c>
      <c r="J13" s="92">
        <v>80.39</v>
      </c>
      <c r="K13" s="19" t="s">
        <v>305</v>
      </c>
      <c r="L13" s="39" t="s">
        <v>265</v>
      </c>
      <c r="M13" s="39" t="s">
        <v>265</v>
      </c>
      <c r="N13" s="87" t="s">
        <v>266</v>
      </c>
    </row>
    <row r="14" spans="1:14" ht="27.9" customHeight="1" x14ac:dyDescent="0.3">
      <c r="A14" s="268"/>
      <c r="B14" s="122" t="s">
        <v>169</v>
      </c>
      <c r="C14" s="6" t="s">
        <v>354</v>
      </c>
      <c r="D14" s="7" t="s">
        <v>500</v>
      </c>
      <c r="E14" s="7" t="s">
        <v>133</v>
      </c>
      <c r="F14" s="7" t="s">
        <v>154</v>
      </c>
      <c r="G14" s="8" t="s">
        <v>9</v>
      </c>
      <c r="H14" s="9">
        <v>2</v>
      </c>
      <c r="I14" s="9">
        <v>1069</v>
      </c>
      <c r="J14" s="92">
        <v>1.87</v>
      </c>
      <c r="K14" s="134" t="s">
        <v>263</v>
      </c>
      <c r="L14" s="38">
        <v>3.89</v>
      </c>
      <c r="M14" s="38">
        <v>3</v>
      </c>
      <c r="N14" s="87" t="s">
        <v>266</v>
      </c>
    </row>
    <row r="15" spans="1:14" ht="27.9" customHeight="1" x14ac:dyDescent="0.3">
      <c r="A15" s="268"/>
      <c r="B15" s="123" t="s">
        <v>353</v>
      </c>
      <c r="C15" s="6" t="s">
        <v>333</v>
      </c>
      <c r="D15" s="7" t="s">
        <v>500</v>
      </c>
      <c r="E15" s="7" t="s">
        <v>133</v>
      </c>
      <c r="F15" s="7" t="s">
        <v>273</v>
      </c>
      <c r="G15" s="8" t="s">
        <v>7</v>
      </c>
      <c r="H15" s="9">
        <v>1069</v>
      </c>
      <c r="I15" s="9">
        <v>1428</v>
      </c>
      <c r="J15" s="92">
        <v>74.86</v>
      </c>
      <c r="K15" s="19" t="s">
        <v>305</v>
      </c>
      <c r="L15" s="39" t="s">
        <v>265</v>
      </c>
      <c r="M15" s="39" t="s">
        <v>265</v>
      </c>
      <c r="N15" s="87" t="s">
        <v>266</v>
      </c>
    </row>
    <row r="16" spans="1:14" ht="27.9" customHeight="1" x14ac:dyDescent="0.3">
      <c r="A16" s="268"/>
      <c r="B16" s="164" t="s">
        <v>170</v>
      </c>
      <c r="C16" s="14" t="s">
        <v>424</v>
      </c>
      <c r="D16" s="41" t="s">
        <v>500</v>
      </c>
      <c r="E16" s="41" t="s">
        <v>133</v>
      </c>
      <c r="F16" s="41" t="s">
        <v>154</v>
      </c>
      <c r="G16" s="15" t="s">
        <v>269</v>
      </c>
      <c r="H16" s="16">
        <v>2</v>
      </c>
      <c r="I16" s="16">
        <v>1193</v>
      </c>
      <c r="J16" s="94">
        <v>1.68</v>
      </c>
      <c r="K16" s="133" t="s">
        <v>263</v>
      </c>
      <c r="L16" s="42">
        <v>0.85</v>
      </c>
      <c r="M16" s="42">
        <v>0.44</v>
      </c>
      <c r="N16" s="90" t="s">
        <v>440</v>
      </c>
    </row>
    <row r="17" spans="1:14" ht="27.9" customHeight="1" x14ac:dyDescent="0.3">
      <c r="A17" s="269"/>
      <c r="B17" s="122" t="s">
        <v>60</v>
      </c>
      <c r="C17" s="6" t="s">
        <v>61</v>
      </c>
      <c r="D17" s="7" t="s">
        <v>500</v>
      </c>
      <c r="E17" s="7" t="s">
        <v>133</v>
      </c>
      <c r="F17" s="7" t="s">
        <v>155</v>
      </c>
      <c r="G17" s="8" t="s">
        <v>7</v>
      </c>
      <c r="H17" s="9">
        <v>1193</v>
      </c>
      <c r="I17" s="9">
        <v>1428</v>
      </c>
      <c r="J17" s="92">
        <v>83.54</v>
      </c>
      <c r="K17" s="19" t="s">
        <v>305</v>
      </c>
      <c r="L17" s="43" t="s">
        <v>265</v>
      </c>
      <c r="M17" s="43" t="s">
        <v>265</v>
      </c>
      <c r="N17" s="87" t="s">
        <v>266</v>
      </c>
    </row>
    <row r="18" spans="1:14" ht="27.9" customHeight="1" thickBot="1" x14ac:dyDescent="0.35">
      <c r="A18" s="267"/>
      <c r="B18" s="162" t="s">
        <v>461</v>
      </c>
      <c r="C18" s="11" t="s">
        <v>462</v>
      </c>
      <c r="D18" s="11" t="s">
        <v>139</v>
      </c>
      <c r="E18" s="11" t="s">
        <v>141</v>
      </c>
      <c r="F18" s="11" t="s">
        <v>154</v>
      </c>
      <c r="G18" s="163" t="s">
        <v>9</v>
      </c>
      <c r="H18" s="11">
        <v>0</v>
      </c>
      <c r="I18" s="11">
        <v>1251</v>
      </c>
      <c r="J18" s="93">
        <v>0</v>
      </c>
      <c r="K18" s="136" t="s">
        <v>488</v>
      </c>
      <c r="L18" s="125">
        <v>0.73</v>
      </c>
      <c r="M18" s="125">
        <v>0.68</v>
      </c>
      <c r="N18" s="89" t="s">
        <v>266</v>
      </c>
    </row>
    <row r="19" spans="1:14" ht="27.9" customHeight="1" x14ac:dyDescent="0.3">
      <c r="A19" s="259" t="s">
        <v>339</v>
      </c>
      <c r="B19" s="186" t="s">
        <v>171</v>
      </c>
      <c r="C19" s="187" t="s">
        <v>356</v>
      </c>
      <c r="D19" s="188" t="s">
        <v>500</v>
      </c>
      <c r="E19" s="188" t="s">
        <v>133</v>
      </c>
      <c r="F19" s="188" t="s">
        <v>154</v>
      </c>
      <c r="G19" s="189" t="s">
        <v>9</v>
      </c>
      <c r="H19" s="190">
        <v>7</v>
      </c>
      <c r="I19" s="190">
        <v>648</v>
      </c>
      <c r="J19" s="191">
        <v>10.8</v>
      </c>
      <c r="K19" s="192" t="s">
        <v>526</v>
      </c>
      <c r="L19" s="193">
        <v>4.95</v>
      </c>
      <c r="M19" s="193">
        <v>3.32</v>
      </c>
      <c r="N19" s="149" t="s">
        <v>440</v>
      </c>
    </row>
    <row r="20" spans="1:14" ht="27.9" customHeight="1" x14ac:dyDescent="0.3">
      <c r="A20" s="260"/>
      <c r="B20" s="21" t="s">
        <v>122</v>
      </c>
      <c r="C20" s="6" t="s">
        <v>161</v>
      </c>
      <c r="D20" s="7" t="s">
        <v>500</v>
      </c>
      <c r="E20" s="7" t="s">
        <v>133</v>
      </c>
      <c r="F20" s="7" t="s">
        <v>273</v>
      </c>
      <c r="G20" s="8" t="s">
        <v>7</v>
      </c>
      <c r="H20" s="9">
        <v>648</v>
      </c>
      <c r="I20" s="9">
        <v>761</v>
      </c>
      <c r="J20" s="92">
        <v>85.15</v>
      </c>
      <c r="K20" s="19" t="s">
        <v>305</v>
      </c>
      <c r="L20" s="39" t="s">
        <v>265</v>
      </c>
      <c r="M20" s="39" t="s">
        <v>265</v>
      </c>
      <c r="N20" s="87" t="s">
        <v>266</v>
      </c>
    </row>
    <row r="21" spans="1:14" ht="27.9" customHeight="1" x14ac:dyDescent="0.3">
      <c r="A21" s="260"/>
      <c r="B21" s="21" t="s">
        <v>172</v>
      </c>
      <c r="C21" s="6" t="s">
        <v>267</v>
      </c>
      <c r="D21" s="7" t="s">
        <v>500</v>
      </c>
      <c r="E21" s="7" t="s">
        <v>133</v>
      </c>
      <c r="F21" s="7" t="s">
        <v>154</v>
      </c>
      <c r="G21" s="8" t="s">
        <v>9</v>
      </c>
      <c r="H21" s="9">
        <v>0</v>
      </c>
      <c r="I21" s="9">
        <v>604</v>
      </c>
      <c r="J21" s="92">
        <v>0</v>
      </c>
      <c r="K21" s="134" t="s">
        <v>263</v>
      </c>
      <c r="L21" s="38">
        <v>2.81</v>
      </c>
      <c r="M21" s="38">
        <v>2.33</v>
      </c>
      <c r="N21" s="87" t="s">
        <v>266</v>
      </c>
    </row>
    <row r="22" spans="1:14" ht="27.9" customHeight="1" x14ac:dyDescent="0.3">
      <c r="A22" s="260"/>
      <c r="B22" s="21" t="s">
        <v>123</v>
      </c>
      <c r="C22" s="6" t="s">
        <v>167</v>
      </c>
      <c r="D22" s="7" t="s">
        <v>500</v>
      </c>
      <c r="E22" s="7" t="s">
        <v>133</v>
      </c>
      <c r="F22" s="7" t="s">
        <v>273</v>
      </c>
      <c r="G22" s="8" t="s">
        <v>7</v>
      </c>
      <c r="H22" s="9">
        <v>604</v>
      </c>
      <c r="I22" s="9">
        <v>761</v>
      </c>
      <c r="J22" s="92">
        <v>79.37</v>
      </c>
      <c r="K22" s="19" t="s">
        <v>305</v>
      </c>
      <c r="L22" s="39" t="s">
        <v>265</v>
      </c>
      <c r="M22" s="39" t="s">
        <v>265</v>
      </c>
      <c r="N22" s="87" t="s">
        <v>266</v>
      </c>
    </row>
    <row r="23" spans="1:14" ht="27.9" customHeight="1" x14ac:dyDescent="0.3">
      <c r="A23" s="260"/>
      <c r="B23" s="40" t="s">
        <v>173</v>
      </c>
      <c r="C23" s="14" t="s">
        <v>359</v>
      </c>
      <c r="D23" s="41" t="s">
        <v>500</v>
      </c>
      <c r="E23" s="41" t="s">
        <v>133</v>
      </c>
      <c r="F23" s="41" t="s">
        <v>154</v>
      </c>
      <c r="G23" s="15" t="s">
        <v>9</v>
      </c>
      <c r="H23" s="16">
        <v>1</v>
      </c>
      <c r="I23" s="16">
        <v>578</v>
      </c>
      <c r="J23" s="94">
        <v>1.73</v>
      </c>
      <c r="K23" s="133" t="s">
        <v>263</v>
      </c>
      <c r="L23" s="194">
        <v>1.49</v>
      </c>
      <c r="M23" s="194">
        <v>0.73</v>
      </c>
      <c r="N23" s="90" t="s">
        <v>440</v>
      </c>
    </row>
    <row r="24" spans="1:14" ht="27.9" customHeight="1" x14ac:dyDescent="0.3">
      <c r="A24" s="262"/>
      <c r="B24" s="114" t="s">
        <v>124</v>
      </c>
      <c r="C24" s="115" t="s">
        <v>125</v>
      </c>
      <c r="D24" s="116" t="s">
        <v>500</v>
      </c>
      <c r="E24" s="116" t="s">
        <v>133</v>
      </c>
      <c r="F24" s="116" t="s">
        <v>155</v>
      </c>
      <c r="G24" s="117" t="s">
        <v>7</v>
      </c>
      <c r="H24" s="118">
        <v>578</v>
      </c>
      <c r="I24" s="118">
        <v>761</v>
      </c>
      <c r="J24" s="119">
        <v>75.95</v>
      </c>
      <c r="K24" s="134" t="s">
        <v>155</v>
      </c>
      <c r="L24" s="124" t="s">
        <v>265</v>
      </c>
      <c r="M24" s="124" t="s">
        <v>265</v>
      </c>
      <c r="N24" s="121" t="s">
        <v>266</v>
      </c>
    </row>
    <row r="25" spans="1:14" ht="27.9" customHeight="1" thickBot="1" x14ac:dyDescent="0.35">
      <c r="A25" s="261"/>
      <c r="B25" s="22" t="s">
        <v>463</v>
      </c>
      <c r="C25" s="10" t="s">
        <v>501</v>
      </c>
      <c r="D25" s="11" t="s">
        <v>139</v>
      </c>
      <c r="E25" s="11" t="s">
        <v>141</v>
      </c>
      <c r="F25" s="11" t="s">
        <v>154</v>
      </c>
      <c r="G25" s="12" t="s">
        <v>9</v>
      </c>
      <c r="H25" s="13">
        <v>0</v>
      </c>
      <c r="I25" s="13">
        <v>515</v>
      </c>
      <c r="J25" s="93">
        <v>0</v>
      </c>
      <c r="K25" s="136" t="s">
        <v>263</v>
      </c>
      <c r="L25" s="125">
        <v>0.86</v>
      </c>
      <c r="M25" s="125">
        <v>0.7</v>
      </c>
      <c r="N25" s="89" t="s">
        <v>266</v>
      </c>
    </row>
    <row r="26" spans="1:14" ht="27.9" customHeight="1" x14ac:dyDescent="0.3">
      <c r="A26" s="259" t="s">
        <v>323</v>
      </c>
      <c r="B26" s="150" t="s">
        <v>351</v>
      </c>
      <c r="C26" s="151" t="s">
        <v>350</v>
      </c>
      <c r="D26" s="152" t="s">
        <v>500</v>
      </c>
      <c r="E26" s="152" t="s">
        <v>133</v>
      </c>
      <c r="F26" s="152" t="s">
        <v>154</v>
      </c>
      <c r="G26" s="153" t="s">
        <v>9</v>
      </c>
      <c r="H26" s="154">
        <v>6</v>
      </c>
      <c r="I26" s="154">
        <v>833</v>
      </c>
      <c r="J26" s="155">
        <v>7.2</v>
      </c>
      <c r="K26" s="156" t="s">
        <v>263</v>
      </c>
      <c r="L26" s="161">
        <v>4.9800000000000004</v>
      </c>
      <c r="M26" s="161">
        <v>3.75</v>
      </c>
      <c r="N26" s="157" t="s">
        <v>440</v>
      </c>
    </row>
    <row r="27" spans="1:14" ht="27.9" customHeight="1" x14ac:dyDescent="0.3">
      <c r="A27" s="260"/>
      <c r="B27" s="21" t="s">
        <v>10</v>
      </c>
      <c r="C27" s="6" t="s">
        <v>313</v>
      </c>
      <c r="D27" s="7" t="s">
        <v>500</v>
      </c>
      <c r="E27" s="7" t="s">
        <v>133</v>
      </c>
      <c r="F27" s="7" t="s">
        <v>273</v>
      </c>
      <c r="G27" s="8" t="s">
        <v>7</v>
      </c>
      <c r="H27" s="9">
        <v>833</v>
      </c>
      <c r="I27" s="9">
        <v>895</v>
      </c>
      <c r="J27" s="92">
        <v>93.07</v>
      </c>
      <c r="K27" s="19" t="s">
        <v>273</v>
      </c>
      <c r="L27" s="39" t="s">
        <v>265</v>
      </c>
      <c r="M27" s="39" t="s">
        <v>265</v>
      </c>
      <c r="N27" s="87" t="s">
        <v>266</v>
      </c>
    </row>
    <row r="28" spans="1:14" ht="27.9" customHeight="1" x14ac:dyDescent="0.3">
      <c r="A28" s="260"/>
      <c r="B28" s="21" t="s">
        <v>174</v>
      </c>
      <c r="C28" s="6" t="s">
        <v>337</v>
      </c>
      <c r="D28" s="19" t="s">
        <v>500</v>
      </c>
      <c r="E28" s="19" t="s">
        <v>133</v>
      </c>
      <c r="F28" s="19" t="s">
        <v>154</v>
      </c>
      <c r="G28" s="8" t="s">
        <v>315</v>
      </c>
      <c r="H28" s="9">
        <v>1</v>
      </c>
      <c r="I28" s="9">
        <v>641</v>
      </c>
      <c r="J28" s="92">
        <v>1.56</v>
      </c>
      <c r="K28" s="134" t="s">
        <v>263</v>
      </c>
      <c r="L28" s="39">
        <v>4.6500000000000004</v>
      </c>
      <c r="M28" s="39">
        <v>2.98</v>
      </c>
      <c r="N28" s="87" t="s">
        <v>266</v>
      </c>
    </row>
    <row r="29" spans="1:14" ht="27.9" customHeight="1" x14ac:dyDescent="0.3">
      <c r="A29" s="260"/>
      <c r="B29" s="21" t="s">
        <v>11</v>
      </c>
      <c r="C29" s="6" t="s">
        <v>262</v>
      </c>
      <c r="D29" s="19" t="s">
        <v>500</v>
      </c>
      <c r="E29" s="19" t="s">
        <v>133</v>
      </c>
      <c r="F29" s="7" t="s">
        <v>273</v>
      </c>
      <c r="G29" s="8" t="s">
        <v>7</v>
      </c>
      <c r="H29" s="9">
        <v>641</v>
      </c>
      <c r="I29" s="9">
        <v>895</v>
      </c>
      <c r="J29" s="92">
        <v>71.62</v>
      </c>
      <c r="K29" s="19" t="s">
        <v>305</v>
      </c>
      <c r="L29" s="39" t="s">
        <v>265</v>
      </c>
      <c r="M29" s="39" t="s">
        <v>265</v>
      </c>
      <c r="N29" s="87" t="s">
        <v>266</v>
      </c>
    </row>
    <row r="30" spans="1:14" ht="27.9" customHeight="1" x14ac:dyDescent="0.3">
      <c r="A30" s="260"/>
      <c r="B30" s="21" t="s">
        <v>414</v>
      </c>
      <c r="C30" s="6" t="s">
        <v>490</v>
      </c>
      <c r="D30" s="7" t="s">
        <v>500</v>
      </c>
      <c r="E30" s="7" t="s">
        <v>133</v>
      </c>
      <c r="F30" s="7" t="s">
        <v>154</v>
      </c>
      <c r="G30" s="8" t="s">
        <v>9</v>
      </c>
      <c r="H30" s="9">
        <v>0</v>
      </c>
      <c r="I30" s="9">
        <v>626</v>
      </c>
      <c r="J30" s="92">
        <v>0</v>
      </c>
      <c r="K30" s="134" t="s">
        <v>263</v>
      </c>
      <c r="L30" s="38">
        <v>0.83</v>
      </c>
      <c r="M30" s="38">
        <v>0.54</v>
      </c>
      <c r="N30" s="87" t="s">
        <v>266</v>
      </c>
    </row>
    <row r="31" spans="1:14" ht="27.9" customHeight="1" x14ac:dyDescent="0.3">
      <c r="A31" s="262"/>
      <c r="B31" s="114" t="s">
        <v>12</v>
      </c>
      <c r="C31" s="115" t="s">
        <v>13</v>
      </c>
      <c r="D31" s="116" t="s">
        <v>500</v>
      </c>
      <c r="E31" s="116" t="s">
        <v>133</v>
      </c>
      <c r="F31" s="116" t="s">
        <v>155</v>
      </c>
      <c r="G31" s="117" t="s">
        <v>7</v>
      </c>
      <c r="H31" s="118">
        <v>626</v>
      </c>
      <c r="I31" s="118">
        <v>895</v>
      </c>
      <c r="J31" s="92">
        <v>69.94</v>
      </c>
      <c r="K31" s="134" t="s">
        <v>155</v>
      </c>
      <c r="L31" s="124" t="s">
        <v>265</v>
      </c>
      <c r="M31" s="124" t="s">
        <v>265</v>
      </c>
      <c r="N31" s="121" t="s">
        <v>266</v>
      </c>
    </row>
    <row r="32" spans="1:14" ht="27.9" customHeight="1" thickBot="1" x14ac:dyDescent="0.35">
      <c r="A32" s="261"/>
      <c r="B32" s="22" t="s">
        <v>464</v>
      </c>
      <c r="C32" s="10" t="s">
        <v>465</v>
      </c>
      <c r="D32" s="11" t="s">
        <v>476</v>
      </c>
      <c r="E32" s="11" t="s">
        <v>475</v>
      </c>
      <c r="F32" s="11" t="s">
        <v>154</v>
      </c>
      <c r="G32" s="12" t="s">
        <v>9</v>
      </c>
      <c r="H32" s="13">
        <v>0</v>
      </c>
      <c r="I32" s="13">
        <v>543</v>
      </c>
      <c r="J32" s="93">
        <v>0</v>
      </c>
      <c r="K32" s="136" t="s">
        <v>481</v>
      </c>
      <c r="L32" s="125">
        <v>1.1299999999999999</v>
      </c>
      <c r="M32" s="125">
        <v>0.81</v>
      </c>
      <c r="N32" s="89" t="s">
        <v>266</v>
      </c>
    </row>
    <row r="33" spans="1:15" ht="27.9" customHeight="1" x14ac:dyDescent="0.3">
      <c r="A33" s="259" t="s">
        <v>340</v>
      </c>
      <c r="B33" s="20" t="s">
        <v>316</v>
      </c>
      <c r="C33" s="2" t="s">
        <v>410</v>
      </c>
      <c r="D33" s="3" t="s">
        <v>500</v>
      </c>
      <c r="E33" s="3" t="s">
        <v>133</v>
      </c>
      <c r="F33" s="3" t="s">
        <v>154</v>
      </c>
      <c r="G33" s="4" t="s">
        <v>9</v>
      </c>
      <c r="H33" s="5">
        <v>0</v>
      </c>
      <c r="I33" s="5">
        <v>329</v>
      </c>
      <c r="J33" s="95">
        <v>0</v>
      </c>
      <c r="K33" s="36" t="s">
        <v>263</v>
      </c>
      <c r="L33" s="185">
        <v>2.87</v>
      </c>
      <c r="M33" s="185">
        <v>2.35</v>
      </c>
      <c r="N33" s="91" t="s">
        <v>266</v>
      </c>
    </row>
    <row r="34" spans="1:15" ht="27.9" customHeight="1" x14ac:dyDescent="0.3">
      <c r="A34" s="260"/>
      <c r="B34" s="21" t="s">
        <v>317</v>
      </c>
      <c r="C34" s="6" t="s">
        <v>321</v>
      </c>
      <c r="D34" s="7" t="s">
        <v>500</v>
      </c>
      <c r="E34" s="7" t="s">
        <v>133</v>
      </c>
      <c r="F34" s="7" t="s">
        <v>273</v>
      </c>
      <c r="G34" s="8" t="s">
        <v>7</v>
      </c>
      <c r="H34" s="9">
        <v>329</v>
      </c>
      <c r="I34" s="9">
        <v>640</v>
      </c>
      <c r="J34" s="92">
        <v>51.41</v>
      </c>
      <c r="K34" s="19" t="s">
        <v>305</v>
      </c>
      <c r="L34" s="39" t="s">
        <v>265</v>
      </c>
      <c r="M34" s="39" t="s">
        <v>265</v>
      </c>
      <c r="N34" s="87" t="s">
        <v>266</v>
      </c>
    </row>
    <row r="35" spans="1:15" ht="27.9" customHeight="1" x14ac:dyDescent="0.3">
      <c r="A35" s="260"/>
      <c r="B35" s="21" t="s">
        <v>318</v>
      </c>
      <c r="C35" s="6" t="s">
        <v>421</v>
      </c>
      <c r="D35" s="19" t="s">
        <v>500</v>
      </c>
      <c r="E35" s="19" t="s">
        <v>133</v>
      </c>
      <c r="F35" s="19" t="s">
        <v>154</v>
      </c>
      <c r="G35" s="8" t="s">
        <v>314</v>
      </c>
      <c r="H35" s="9">
        <v>0</v>
      </c>
      <c r="I35" s="9">
        <v>533</v>
      </c>
      <c r="J35" s="92">
        <v>0</v>
      </c>
      <c r="K35" s="134" t="s">
        <v>263</v>
      </c>
      <c r="L35" s="39">
        <v>4.04</v>
      </c>
      <c r="M35" s="39">
        <v>3.87</v>
      </c>
      <c r="N35" s="87" t="s">
        <v>266</v>
      </c>
    </row>
    <row r="36" spans="1:15" ht="27.9" customHeight="1" x14ac:dyDescent="0.3">
      <c r="A36" s="260"/>
      <c r="B36" s="21" t="s">
        <v>319</v>
      </c>
      <c r="C36" s="6" t="s">
        <v>322</v>
      </c>
      <c r="D36" s="19" t="s">
        <v>500</v>
      </c>
      <c r="E36" s="19" t="s">
        <v>133</v>
      </c>
      <c r="F36" s="7" t="s">
        <v>273</v>
      </c>
      <c r="G36" s="8" t="s">
        <v>7</v>
      </c>
      <c r="H36" s="9">
        <v>533</v>
      </c>
      <c r="I36" s="9">
        <v>640</v>
      </c>
      <c r="J36" s="92">
        <v>83.28</v>
      </c>
      <c r="K36" s="19" t="s">
        <v>305</v>
      </c>
      <c r="L36" s="39" t="s">
        <v>265</v>
      </c>
      <c r="M36" s="39" t="s">
        <v>265</v>
      </c>
      <c r="N36" s="87" t="s">
        <v>266</v>
      </c>
    </row>
    <row r="37" spans="1:15" ht="27.9" customHeight="1" x14ac:dyDescent="0.3">
      <c r="A37" s="260"/>
      <c r="B37" s="21" t="s">
        <v>320</v>
      </c>
      <c r="C37" s="6" t="s">
        <v>411</v>
      </c>
      <c r="D37" s="7" t="s">
        <v>500</v>
      </c>
      <c r="E37" s="7" t="s">
        <v>133</v>
      </c>
      <c r="F37" s="7" t="s">
        <v>154</v>
      </c>
      <c r="G37" s="8" t="s">
        <v>9</v>
      </c>
      <c r="H37" s="9">
        <v>0</v>
      </c>
      <c r="I37" s="9">
        <v>417</v>
      </c>
      <c r="J37" s="92">
        <v>0</v>
      </c>
      <c r="K37" s="134" t="s">
        <v>263</v>
      </c>
      <c r="L37" s="38">
        <v>0.71</v>
      </c>
      <c r="M37" s="38">
        <v>0.36</v>
      </c>
      <c r="N37" s="87" t="s">
        <v>266</v>
      </c>
      <c r="O37" s="37"/>
    </row>
    <row r="38" spans="1:15" ht="27.9" customHeight="1" x14ac:dyDescent="0.3">
      <c r="A38" s="262"/>
      <c r="B38" s="114" t="s">
        <v>466</v>
      </c>
      <c r="C38" s="115" t="s">
        <v>467</v>
      </c>
      <c r="D38" s="116" t="s">
        <v>500</v>
      </c>
      <c r="E38" s="116" t="s">
        <v>133</v>
      </c>
      <c r="F38" s="116" t="s">
        <v>155</v>
      </c>
      <c r="G38" s="117" t="s">
        <v>7</v>
      </c>
      <c r="H38" s="118">
        <v>417</v>
      </c>
      <c r="I38" s="118">
        <v>640</v>
      </c>
      <c r="J38" s="119">
        <v>65.16</v>
      </c>
      <c r="K38" s="134" t="s">
        <v>155</v>
      </c>
      <c r="L38" s="124" t="s">
        <v>265</v>
      </c>
      <c r="M38" s="124" t="s">
        <v>265</v>
      </c>
      <c r="N38" s="121" t="s">
        <v>266</v>
      </c>
      <c r="O38" s="37"/>
    </row>
    <row r="39" spans="1:15" ht="27.9" customHeight="1" thickBot="1" x14ac:dyDescent="0.35">
      <c r="A39" s="261"/>
      <c r="B39" s="22" t="s">
        <v>468</v>
      </c>
      <c r="C39" s="10" t="s">
        <v>469</v>
      </c>
      <c r="D39" s="11" t="s">
        <v>139</v>
      </c>
      <c r="E39" s="11" t="s">
        <v>141</v>
      </c>
      <c r="F39" s="11" t="s">
        <v>154</v>
      </c>
      <c r="G39" s="12" t="s">
        <v>9</v>
      </c>
      <c r="H39" s="13">
        <v>0</v>
      </c>
      <c r="I39" s="13">
        <v>397</v>
      </c>
      <c r="J39" s="93">
        <v>0</v>
      </c>
      <c r="K39" s="136" t="s">
        <v>263</v>
      </c>
      <c r="L39" s="125">
        <v>1.1399999999999999</v>
      </c>
      <c r="M39" s="125">
        <v>0.69</v>
      </c>
      <c r="N39" s="89" t="s">
        <v>266</v>
      </c>
    </row>
    <row r="40" spans="1:15" ht="39.9" customHeight="1" x14ac:dyDescent="0.3">
      <c r="A40" s="259" t="s">
        <v>158</v>
      </c>
      <c r="B40" s="150" t="s">
        <v>114</v>
      </c>
      <c r="C40" s="151" t="s">
        <v>355</v>
      </c>
      <c r="D40" s="152" t="s">
        <v>147</v>
      </c>
      <c r="E40" s="152" t="s">
        <v>148</v>
      </c>
      <c r="F40" s="152" t="s">
        <v>153</v>
      </c>
      <c r="G40" s="153" t="s">
        <v>7</v>
      </c>
      <c r="H40" s="154">
        <v>1551</v>
      </c>
      <c r="I40" s="154">
        <v>1565</v>
      </c>
      <c r="J40" s="155">
        <v>99.11</v>
      </c>
      <c r="K40" s="156" t="s">
        <v>263</v>
      </c>
      <c r="L40" s="158">
        <v>99.39</v>
      </c>
      <c r="M40" s="158">
        <v>99.57</v>
      </c>
      <c r="N40" s="157" t="s">
        <v>484</v>
      </c>
    </row>
    <row r="41" spans="1:15" ht="27.9" customHeight="1" x14ac:dyDescent="0.3">
      <c r="A41" s="260"/>
      <c r="B41" s="21" t="s">
        <v>175</v>
      </c>
      <c r="C41" s="6" t="s">
        <v>342</v>
      </c>
      <c r="D41" s="7" t="s">
        <v>500</v>
      </c>
      <c r="E41" s="7" t="s">
        <v>343</v>
      </c>
      <c r="F41" s="7" t="s">
        <v>154</v>
      </c>
      <c r="G41" s="8" t="s">
        <v>7</v>
      </c>
      <c r="H41" s="9">
        <v>2</v>
      </c>
      <c r="I41" s="9">
        <v>2941</v>
      </c>
      <c r="J41" s="92">
        <v>7.0000000000000007E-2</v>
      </c>
      <c r="K41" s="134" t="s">
        <v>263</v>
      </c>
      <c r="L41" s="38">
        <v>0.34</v>
      </c>
      <c r="M41" s="38">
        <v>0.27</v>
      </c>
      <c r="N41" s="87" t="s">
        <v>266</v>
      </c>
    </row>
    <row r="42" spans="1:15" ht="27.9" customHeight="1" x14ac:dyDescent="0.3">
      <c r="A42" s="260"/>
      <c r="B42" s="21" t="s">
        <v>177</v>
      </c>
      <c r="C42" s="6" t="s">
        <v>115</v>
      </c>
      <c r="D42" s="7" t="s">
        <v>149</v>
      </c>
      <c r="E42" s="7" t="s">
        <v>148</v>
      </c>
      <c r="F42" s="7" t="s">
        <v>154</v>
      </c>
      <c r="G42" s="8" t="s">
        <v>7</v>
      </c>
      <c r="H42" s="9">
        <v>0</v>
      </c>
      <c r="I42" s="9">
        <v>29</v>
      </c>
      <c r="J42" s="92">
        <v>0</v>
      </c>
      <c r="K42" s="134" t="s">
        <v>263</v>
      </c>
      <c r="L42" s="38">
        <v>0.15</v>
      </c>
      <c r="M42" s="38">
        <v>0.12</v>
      </c>
      <c r="N42" s="87" t="s">
        <v>266</v>
      </c>
    </row>
    <row r="43" spans="1:15" ht="27.9" customHeight="1" x14ac:dyDescent="0.3">
      <c r="A43" s="260"/>
      <c r="B43" s="21" t="s">
        <v>178</v>
      </c>
      <c r="C43" s="6" t="s">
        <v>116</v>
      </c>
      <c r="D43" s="7" t="s">
        <v>149</v>
      </c>
      <c r="E43" s="7" t="s">
        <v>148</v>
      </c>
      <c r="F43" s="7" t="s">
        <v>154</v>
      </c>
      <c r="G43" s="8" t="s">
        <v>7</v>
      </c>
      <c r="H43" s="9">
        <v>0</v>
      </c>
      <c r="I43" s="9">
        <v>16</v>
      </c>
      <c r="J43" s="92">
        <v>0</v>
      </c>
      <c r="K43" s="134" t="s">
        <v>263</v>
      </c>
      <c r="L43" s="38">
        <v>0.22</v>
      </c>
      <c r="M43" s="38">
        <v>0.09</v>
      </c>
      <c r="N43" s="87" t="s">
        <v>266</v>
      </c>
    </row>
    <row r="44" spans="1:15" ht="27.9" customHeight="1" x14ac:dyDescent="0.3">
      <c r="A44" s="260"/>
      <c r="B44" s="21" t="s">
        <v>176</v>
      </c>
      <c r="C44" s="6" t="s">
        <v>310</v>
      </c>
      <c r="D44" s="7" t="s">
        <v>150</v>
      </c>
      <c r="E44" s="7" t="s">
        <v>148</v>
      </c>
      <c r="F44" s="7" t="s">
        <v>154</v>
      </c>
      <c r="G44" s="8" t="s">
        <v>7</v>
      </c>
      <c r="H44" s="9">
        <v>0</v>
      </c>
      <c r="I44" s="9">
        <v>14</v>
      </c>
      <c r="J44" s="92">
        <v>0</v>
      </c>
      <c r="K44" s="134" t="s">
        <v>263</v>
      </c>
      <c r="L44" s="38">
        <v>0.99</v>
      </c>
      <c r="M44" s="38">
        <v>0.83</v>
      </c>
      <c r="N44" s="87" t="s">
        <v>266</v>
      </c>
    </row>
    <row r="45" spans="1:15" ht="27.9" customHeight="1" x14ac:dyDescent="0.3">
      <c r="A45" s="260"/>
      <c r="B45" s="21" t="s">
        <v>117</v>
      </c>
      <c r="C45" s="6" t="s">
        <v>181</v>
      </c>
      <c r="D45" s="7" t="s">
        <v>136</v>
      </c>
      <c r="E45" s="7" t="s">
        <v>148</v>
      </c>
      <c r="F45" s="7" t="s">
        <v>154</v>
      </c>
      <c r="G45" s="8" t="s">
        <v>7</v>
      </c>
      <c r="H45" s="9">
        <v>0</v>
      </c>
      <c r="I45" s="9">
        <v>2941</v>
      </c>
      <c r="J45" s="92">
        <v>0</v>
      </c>
      <c r="K45" s="134" t="s">
        <v>263</v>
      </c>
      <c r="L45" s="39">
        <v>0.19</v>
      </c>
      <c r="M45" s="39">
        <v>0.11</v>
      </c>
      <c r="N45" s="87" t="s">
        <v>266</v>
      </c>
    </row>
    <row r="46" spans="1:15" ht="27.9" customHeight="1" x14ac:dyDescent="0.3">
      <c r="A46" s="260"/>
      <c r="B46" s="21" t="s">
        <v>118</v>
      </c>
      <c r="C46" s="6" t="s">
        <v>119</v>
      </c>
      <c r="D46" s="7" t="s">
        <v>136</v>
      </c>
      <c r="E46" s="7" t="s">
        <v>148</v>
      </c>
      <c r="F46" s="7" t="s">
        <v>154</v>
      </c>
      <c r="G46" s="8" t="s">
        <v>7</v>
      </c>
      <c r="H46" s="9">
        <v>0</v>
      </c>
      <c r="I46" s="9">
        <v>2941</v>
      </c>
      <c r="J46" s="92">
        <v>0</v>
      </c>
      <c r="K46" s="134" t="s">
        <v>263</v>
      </c>
      <c r="L46" s="39">
        <v>0.12</v>
      </c>
      <c r="M46" s="39">
        <v>0.09</v>
      </c>
      <c r="N46" s="87" t="s">
        <v>266</v>
      </c>
    </row>
    <row r="47" spans="1:15" ht="27.9" customHeight="1" thickBot="1" x14ac:dyDescent="0.35">
      <c r="A47" s="261"/>
      <c r="B47" s="22" t="s">
        <v>120</v>
      </c>
      <c r="C47" s="10" t="s">
        <v>412</v>
      </c>
      <c r="D47" s="11" t="s">
        <v>147</v>
      </c>
      <c r="E47" s="11" t="s">
        <v>148</v>
      </c>
      <c r="F47" s="11" t="s">
        <v>154</v>
      </c>
      <c r="G47" s="12" t="s">
        <v>7</v>
      </c>
      <c r="H47" s="13">
        <v>13</v>
      </c>
      <c r="I47" s="13">
        <v>2941</v>
      </c>
      <c r="J47" s="92">
        <v>0.44</v>
      </c>
      <c r="K47" s="134" t="s">
        <v>263</v>
      </c>
      <c r="L47" s="44">
        <v>0.75</v>
      </c>
      <c r="M47" s="44">
        <v>0.69</v>
      </c>
      <c r="N47" s="87" t="s">
        <v>266</v>
      </c>
    </row>
    <row r="48" spans="1:15" ht="27.9" customHeight="1" x14ac:dyDescent="0.3">
      <c r="A48" s="259" t="s">
        <v>134</v>
      </c>
      <c r="B48" s="20" t="s">
        <v>428</v>
      </c>
      <c r="C48" s="2" t="s">
        <v>338</v>
      </c>
      <c r="D48" s="105" t="s">
        <v>135</v>
      </c>
      <c r="E48" s="105" t="s">
        <v>133</v>
      </c>
      <c r="F48" s="105" t="s">
        <v>154</v>
      </c>
      <c r="G48" s="4" t="s">
        <v>7</v>
      </c>
      <c r="H48" s="5">
        <v>190</v>
      </c>
      <c r="I48" s="5">
        <v>8007</v>
      </c>
      <c r="J48" s="95">
        <v>2.37</v>
      </c>
      <c r="K48" s="85" t="s">
        <v>263</v>
      </c>
      <c r="L48" s="45">
        <v>2.84</v>
      </c>
      <c r="M48" s="45">
        <v>2.5</v>
      </c>
      <c r="N48" s="91" t="s">
        <v>266</v>
      </c>
    </row>
    <row r="49" spans="1:15" ht="27.9" customHeight="1" x14ac:dyDescent="0.3">
      <c r="A49" s="260"/>
      <c r="B49" s="40" t="s">
        <v>162</v>
      </c>
      <c r="C49" s="14" t="s">
        <v>360</v>
      </c>
      <c r="D49" s="195" t="s">
        <v>135</v>
      </c>
      <c r="E49" s="195" t="s">
        <v>133</v>
      </c>
      <c r="F49" s="195" t="s">
        <v>154</v>
      </c>
      <c r="G49" s="15" t="s">
        <v>7</v>
      </c>
      <c r="H49" s="16">
        <v>724</v>
      </c>
      <c r="I49" s="16">
        <v>8014</v>
      </c>
      <c r="J49" s="94">
        <v>9.0299999999999994</v>
      </c>
      <c r="K49" s="133" t="s">
        <v>523</v>
      </c>
      <c r="L49" s="42">
        <v>7.47</v>
      </c>
      <c r="M49" s="42">
        <v>7.32</v>
      </c>
      <c r="N49" s="90" t="s">
        <v>440</v>
      </c>
    </row>
    <row r="50" spans="1:15" ht="27.9" customHeight="1" x14ac:dyDescent="0.3">
      <c r="A50" s="260"/>
      <c r="B50" s="205" t="s">
        <v>14</v>
      </c>
      <c r="C50" s="206" t="s">
        <v>15</v>
      </c>
      <c r="D50" s="207" t="s">
        <v>135</v>
      </c>
      <c r="E50" s="207" t="s">
        <v>133</v>
      </c>
      <c r="F50" s="207" t="s">
        <v>154</v>
      </c>
      <c r="G50" s="208" t="s">
        <v>7</v>
      </c>
      <c r="H50" s="209">
        <v>287</v>
      </c>
      <c r="I50" s="209">
        <v>8014</v>
      </c>
      <c r="J50" s="210">
        <v>3.58</v>
      </c>
      <c r="K50" s="211" t="s">
        <v>523</v>
      </c>
      <c r="L50" s="212">
        <v>4.13</v>
      </c>
      <c r="M50" s="212">
        <v>3.29</v>
      </c>
      <c r="N50" s="213" t="s">
        <v>520</v>
      </c>
    </row>
    <row r="51" spans="1:15" ht="27.9" customHeight="1" x14ac:dyDescent="0.3">
      <c r="A51" s="260"/>
      <c r="B51" s="21" t="s">
        <v>16</v>
      </c>
      <c r="C51" s="6" t="s">
        <v>163</v>
      </c>
      <c r="D51" s="19" t="s">
        <v>135</v>
      </c>
      <c r="E51" s="19" t="s">
        <v>133</v>
      </c>
      <c r="F51" s="19" t="s">
        <v>154</v>
      </c>
      <c r="G51" s="8" t="s">
        <v>7</v>
      </c>
      <c r="H51" s="9">
        <v>50</v>
      </c>
      <c r="I51" s="9">
        <v>8007</v>
      </c>
      <c r="J51" s="92">
        <v>0.62</v>
      </c>
      <c r="K51" s="134" t="s">
        <v>263</v>
      </c>
      <c r="L51" s="39">
        <v>1.3</v>
      </c>
      <c r="M51" s="39">
        <v>1.06</v>
      </c>
      <c r="N51" s="87" t="s">
        <v>266</v>
      </c>
    </row>
    <row r="52" spans="1:15" ht="27.9" customHeight="1" thickBot="1" x14ac:dyDescent="0.35">
      <c r="A52" s="261"/>
      <c r="B52" s="22" t="s">
        <v>17</v>
      </c>
      <c r="C52" s="10" t="s">
        <v>261</v>
      </c>
      <c r="D52" s="30" t="s">
        <v>135</v>
      </c>
      <c r="E52" s="30" t="s">
        <v>133</v>
      </c>
      <c r="F52" s="30" t="s">
        <v>154</v>
      </c>
      <c r="G52" s="12" t="s">
        <v>7</v>
      </c>
      <c r="H52" s="13">
        <v>95</v>
      </c>
      <c r="I52" s="13">
        <v>8007</v>
      </c>
      <c r="J52" s="93">
        <v>1.19</v>
      </c>
      <c r="K52" s="134" t="s">
        <v>263</v>
      </c>
      <c r="L52" s="44">
        <v>2.42</v>
      </c>
      <c r="M52" s="44">
        <v>2.09</v>
      </c>
      <c r="N52" s="89" t="s">
        <v>266</v>
      </c>
    </row>
    <row r="53" spans="1:15" ht="27.9" customHeight="1" x14ac:dyDescent="0.3">
      <c r="A53" s="259" t="s">
        <v>483</v>
      </c>
      <c r="B53" s="20" t="s">
        <v>25</v>
      </c>
      <c r="C53" s="2" t="s">
        <v>26</v>
      </c>
      <c r="D53" s="3" t="s">
        <v>139</v>
      </c>
      <c r="E53" s="3" t="s">
        <v>141</v>
      </c>
      <c r="F53" s="3" t="s">
        <v>154</v>
      </c>
      <c r="G53" s="4" t="s">
        <v>7</v>
      </c>
      <c r="H53" s="5">
        <v>10</v>
      </c>
      <c r="I53" s="5">
        <v>30161</v>
      </c>
      <c r="J53" s="95">
        <v>0.03</v>
      </c>
      <c r="K53" s="36" t="s">
        <v>263</v>
      </c>
      <c r="L53" s="45">
        <v>0.06</v>
      </c>
      <c r="M53" s="45">
        <v>0.05</v>
      </c>
      <c r="N53" s="91" t="s">
        <v>266</v>
      </c>
    </row>
    <row r="54" spans="1:15" ht="27.9" customHeight="1" x14ac:dyDescent="0.3">
      <c r="A54" s="260"/>
      <c r="B54" s="21" t="s">
        <v>27</v>
      </c>
      <c r="C54" s="6" t="s">
        <v>28</v>
      </c>
      <c r="D54" s="7" t="s">
        <v>139</v>
      </c>
      <c r="E54" s="7" t="s">
        <v>141</v>
      </c>
      <c r="F54" s="7" t="s">
        <v>155</v>
      </c>
      <c r="G54" s="8" t="s">
        <v>7</v>
      </c>
      <c r="H54" s="9">
        <v>7</v>
      </c>
      <c r="I54" s="9">
        <v>10</v>
      </c>
      <c r="J54" s="92">
        <v>70</v>
      </c>
      <c r="K54" s="19" t="s">
        <v>305</v>
      </c>
      <c r="L54" s="43" t="s">
        <v>265</v>
      </c>
      <c r="M54" s="43" t="s">
        <v>265</v>
      </c>
      <c r="N54" s="87" t="s">
        <v>266</v>
      </c>
    </row>
    <row r="55" spans="1:15" ht="27.9" customHeight="1" x14ac:dyDescent="0.3">
      <c r="A55" s="260"/>
      <c r="B55" s="21" t="s">
        <v>29</v>
      </c>
      <c r="C55" s="6" t="s">
        <v>30</v>
      </c>
      <c r="D55" s="7" t="s">
        <v>139</v>
      </c>
      <c r="E55" s="7" t="s">
        <v>141</v>
      </c>
      <c r="F55" s="7" t="s">
        <v>155</v>
      </c>
      <c r="G55" s="8" t="s">
        <v>7</v>
      </c>
      <c r="H55" s="9">
        <v>0</v>
      </c>
      <c r="I55" s="9">
        <v>10</v>
      </c>
      <c r="J55" s="92">
        <v>0</v>
      </c>
      <c r="K55" s="19" t="s">
        <v>305</v>
      </c>
      <c r="L55" s="43" t="s">
        <v>265</v>
      </c>
      <c r="M55" s="43" t="s">
        <v>265</v>
      </c>
      <c r="N55" s="87" t="s">
        <v>266</v>
      </c>
    </row>
    <row r="56" spans="1:15" ht="27.9" customHeight="1" x14ac:dyDescent="0.3">
      <c r="A56" s="260"/>
      <c r="B56" s="21" t="s">
        <v>31</v>
      </c>
      <c r="C56" s="6" t="s">
        <v>32</v>
      </c>
      <c r="D56" s="7" t="s">
        <v>139</v>
      </c>
      <c r="E56" s="7" t="s">
        <v>141</v>
      </c>
      <c r="F56" s="7" t="s">
        <v>155</v>
      </c>
      <c r="G56" s="8" t="s">
        <v>7</v>
      </c>
      <c r="H56" s="9">
        <v>2</v>
      </c>
      <c r="I56" s="9">
        <v>10</v>
      </c>
      <c r="J56" s="92">
        <v>20</v>
      </c>
      <c r="K56" s="19" t="s">
        <v>305</v>
      </c>
      <c r="L56" s="43" t="s">
        <v>265</v>
      </c>
      <c r="M56" s="43" t="s">
        <v>265</v>
      </c>
      <c r="N56" s="87" t="s">
        <v>266</v>
      </c>
    </row>
    <row r="57" spans="1:15" ht="27.9" customHeight="1" x14ac:dyDescent="0.3">
      <c r="A57" s="260"/>
      <c r="B57" s="21" t="s">
        <v>33</v>
      </c>
      <c r="C57" s="6" t="s">
        <v>34</v>
      </c>
      <c r="D57" s="7" t="s">
        <v>139</v>
      </c>
      <c r="E57" s="7" t="s">
        <v>141</v>
      </c>
      <c r="F57" s="7" t="s">
        <v>155</v>
      </c>
      <c r="G57" s="8" t="s">
        <v>7</v>
      </c>
      <c r="H57" s="9">
        <v>1</v>
      </c>
      <c r="I57" s="9">
        <v>10</v>
      </c>
      <c r="J57" s="92">
        <v>10</v>
      </c>
      <c r="K57" s="19" t="s">
        <v>305</v>
      </c>
      <c r="L57" s="43" t="s">
        <v>265</v>
      </c>
      <c r="M57" s="43" t="s">
        <v>265</v>
      </c>
      <c r="N57" s="87" t="s">
        <v>266</v>
      </c>
    </row>
    <row r="58" spans="1:15" ht="27.9" customHeight="1" x14ac:dyDescent="0.3">
      <c r="A58" s="260"/>
      <c r="B58" s="21" t="s">
        <v>35</v>
      </c>
      <c r="C58" s="6" t="s">
        <v>36</v>
      </c>
      <c r="D58" s="7" t="s">
        <v>139</v>
      </c>
      <c r="E58" s="7" t="s">
        <v>141</v>
      </c>
      <c r="F58" s="7" t="s">
        <v>154</v>
      </c>
      <c r="G58" s="8" t="s">
        <v>7</v>
      </c>
      <c r="H58" s="9">
        <v>5</v>
      </c>
      <c r="I58" s="9">
        <v>10</v>
      </c>
      <c r="J58" s="92">
        <v>50</v>
      </c>
      <c r="K58" s="134" t="s">
        <v>263</v>
      </c>
      <c r="L58" s="39">
        <v>67.709999999999994</v>
      </c>
      <c r="M58" s="39">
        <v>57.96</v>
      </c>
      <c r="N58" s="87" t="s">
        <v>266</v>
      </c>
    </row>
    <row r="59" spans="1:15" ht="27.9" customHeight="1" x14ac:dyDescent="0.3">
      <c r="A59" s="260"/>
      <c r="B59" s="21" t="s">
        <v>37</v>
      </c>
      <c r="C59" s="6" t="s">
        <v>38</v>
      </c>
      <c r="D59" s="7" t="s">
        <v>139</v>
      </c>
      <c r="E59" s="7" t="s">
        <v>141</v>
      </c>
      <c r="F59" s="7" t="s">
        <v>155</v>
      </c>
      <c r="G59" s="8" t="s">
        <v>7</v>
      </c>
      <c r="H59" s="9">
        <v>1</v>
      </c>
      <c r="I59" s="9">
        <v>5</v>
      </c>
      <c r="J59" s="92">
        <v>20</v>
      </c>
      <c r="K59" s="19" t="s">
        <v>305</v>
      </c>
      <c r="L59" s="43" t="s">
        <v>265</v>
      </c>
      <c r="M59" s="43" t="s">
        <v>265</v>
      </c>
      <c r="N59" s="87" t="s">
        <v>266</v>
      </c>
    </row>
    <row r="60" spans="1:15" ht="27.9" customHeight="1" x14ac:dyDescent="0.3">
      <c r="A60" s="260"/>
      <c r="B60" s="21" t="s">
        <v>39</v>
      </c>
      <c r="C60" s="6" t="s">
        <v>40</v>
      </c>
      <c r="D60" s="7" t="s">
        <v>139</v>
      </c>
      <c r="E60" s="7" t="s">
        <v>141</v>
      </c>
      <c r="F60" s="7" t="s">
        <v>155</v>
      </c>
      <c r="G60" s="8" t="s">
        <v>7</v>
      </c>
      <c r="H60" s="9">
        <v>4</v>
      </c>
      <c r="I60" s="9">
        <v>5</v>
      </c>
      <c r="J60" s="92">
        <v>80</v>
      </c>
      <c r="K60" s="19" t="s">
        <v>305</v>
      </c>
      <c r="L60" s="43" t="s">
        <v>265</v>
      </c>
      <c r="M60" s="43" t="s">
        <v>265</v>
      </c>
      <c r="N60" s="87" t="s">
        <v>266</v>
      </c>
    </row>
    <row r="61" spans="1:15" ht="27.9" customHeight="1" x14ac:dyDescent="0.3">
      <c r="A61" s="260"/>
      <c r="B61" s="21" t="s">
        <v>41</v>
      </c>
      <c r="C61" s="6" t="s">
        <v>327</v>
      </c>
      <c r="D61" s="7" t="s">
        <v>139</v>
      </c>
      <c r="E61" s="7" t="s">
        <v>141</v>
      </c>
      <c r="F61" s="7" t="s">
        <v>154</v>
      </c>
      <c r="G61" s="8" t="s">
        <v>7</v>
      </c>
      <c r="H61" s="9">
        <v>0</v>
      </c>
      <c r="I61" s="9">
        <v>5</v>
      </c>
      <c r="J61" s="92">
        <v>0</v>
      </c>
      <c r="K61" s="134" t="s">
        <v>263</v>
      </c>
      <c r="L61" s="39">
        <v>6.15</v>
      </c>
      <c r="M61" s="39">
        <v>4.8099999999999996</v>
      </c>
      <c r="N61" s="87" t="s">
        <v>266</v>
      </c>
      <c r="O61" s="37"/>
    </row>
    <row r="62" spans="1:15" ht="27.9" customHeight="1" x14ac:dyDescent="0.3">
      <c r="A62" s="260"/>
      <c r="B62" s="21" t="s">
        <v>417</v>
      </c>
      <c r="C62" s="6" t="s">
        <v>42</v>
      </c>
      <c r="D62" s="7" t="s">
        <v>139</v>
      </c>
      <c r="E62" s="7" t="s">
        <v>141</v>
      </c>
      <c r="F62" s="7" t="s">
        <v>154</v>
      </c>
      <c r="G62" s="8" t="s">
        <v>7</v>
      </c>
      <c r="H62" s="9">
        <v>0</v>
      </c>
      <c r="I62" s="9">
        <v>5</v>
      </c>
      <c r="J62" s="92">
        <v>0</v>
      </c>
      <c r="K62" s="134" t="s">
        <v>263</v>
      </c>
      <c r="L62" s="39">
        <v>0</v>
      </c>
      <c r="M62" s="39">
        <v>0.33</v>
      </c>
      <c r="N62" s="87" t="s">
        <v>266</v>
      </c>
    </row>
    <row r="63" spans="1:15" ht="27.9" customHeight="1" x14ac:dyDescent="0.3">
      <c r="A63" s="260"/>
      <c r="B63" s="21" t="s">
        <v>43</v>
      </c>
      <c r="C63" s="6" t="s">
        <v>44</v>
      </c>
      <c r="D63" s="7" t="s">
        <v>139</v>
      </c>
      <c r="E63" s="7" t="s">
        <v>141</v>
      </c>
      <c r="F63" s="7" t="s">
        <v>154</v>
      </c>
      <c r="G63" s="8" t="s">
        <v>7</v>
      </c>
      <c r="H63" s="9">
        <v>0</v>
      </c>
      <c r="I63" s="9">
        <v>5</v>
      </c>
      <c r="J63" s="92">
        <v>0</v>
      </c>
      <c r="K63" s="134" t="s">
        <v>263</v>
      </c>
      <c r="L63" s="39">
        <v>0</v>
      </c>
      <c r="M63" s="39">
        <v>0.28000000000000003</v>
      </c>
      <c r="N63" s="87" t="s">
        <v>266</v>
      </c>
    </row>
    <row r="64" spans="1:15" ht="27.9" customHeight="1" x14ac:dyDescent="0.3">
      <c r="A64" s="260"/>
      <c r="B64" s="21" t="s">
        <v>45</v>
      </c>
      <c r="C64" s="6" t="s">
        <v>46</v>
      </c>
      <c r="D64" s="7" t="s">
        <v>139</v>
      </c>
      <c r="E64" s="7" t="s">
        <v>141</v>
      </c>
      <c r="F64" s="7" t="s">
        <v>154</v>
      </c>
      <c r="G64" s="8" t="s">
        <v>7</v>
      </c>
      <c r="H64" s="9">
        <v>0</v>
      </c>
      <c r="I64" s="9">
        <v>10</v>
      </c>
      <c r="J64" s="92">
        <v>0</v>
      </c>
      <c r="K64" s="134" t="s">
        <v>263</v>
      </c>
      <c r="L64" s="39" t="s">
        <v>502</v>
      </c>
      <c r="M64" s="39" t="s">
        <v>502</v>
      </c>
      <c r="N64" s="87" t="s">
        <v>266</v>
      </c>
    </row>
    <row r="65" spans="1:14" s="37" customFormat="1" ht="27.9" customHeight="1" x14ac:dyDescent="0.3">
      <c r="A65" s="260"/>
      <c r="B65" s="21" t="s">
        <v>283</v>
      </c>
      <c r="C65" s="6" t="s">
        <v>284</v>
      </c>
      <c r="D65" s="7" t="s">
        <v>139</v>
      </c>
      <c r="E65" s="7" t="s">
        <v>141</v>
      </c>
      <c r="F65" s="7" t="s">
        <v>154</v>
      </c>
      <c r="G65" s="8" t="s">
        <v>7</v>
      </c>
      <c r="H65" s="9">
        <v>31</v>
      </c>
      <c r="I65" s="9">
        <v>30161</v>
      </c>
      <c r="J65" s="92">
        <v>0.1</v>
      </c>
      <c r="K65" s="134" t="s">
        <v>263</v>
      </c>
      <c r="L65" s="39">
        <v>0.1</v>
      </c>
      <c r="M65" s="39">
        <v>0.1</v>
      </c>
      <c r="N65" s="87" t="s">
        <v>266</v>
      </c>
    </row>
    <row r="66" spans="1:14" s="37" customFormat="1" ht="27.9" customHeight="1" x14ac:dyDescent="0.3">
      <c r="A66" s="260"/>
      <c r="B66" s="21" t="s">
        <v>285</v>
      </c>
      <c r="C66" s="6" t="s">
        <v>286</v>
      </c>
      <c r="D66" s="7" t="s">
        <v>139</v>
      </c>
      <c r="E66" s="7" t="s">
        <v>141</v>
      </c>
      <c r="F66" s="7" t="s">
        <v>155</v>
      </c>
      <c r="G66" s="8" t="s">
        <v>7</v>
      </c>
      <c r="H66" s="9">
        <v>22</v>
      </c>
      <c r="I66" s="9">
        <v>30161</v>
      </c>
      <c r="J66" s="92">
        <v>7.0000000000000007E-2</v>
      </c>
      <c r="K66" s="19" t="s">
        <v>305</v>
      </c>
      <c r="L66" s="39" t="s">
        <v>265</v>
      </c>
      <c r="M66" s="39" t="s">
        <v>265</v>
      </c>
      <c r="N66" s="87" t="s">
        <v>266</v>
      </c>
    </row>
    <row r="67" spans="1:14" s="37" customFormat="1" ht="27.9" customHeight="1" x14ac:dyDescent="0.3">
      <c r="A67" s="260"/>
      <c r="B67" s="21" t="s">
        <v>287</v>
      </c>
      <c r="C67" s="6" t="s">
        <v>288</v>
      </c>
      <c r="D67" s="7" t="s">
        <v>139</v>
      </c>
      <c r="E67" s="7" t="s">
        <v>141</v>
      </c>
      <c r="F67" s="7" t="s">
        <v>155</v>
      </c>
      <c r="G67" s="8" t="s">
        <v>7</v>
      </c>
      <c r="H67" s="9">
        <v>3</v>
      </c>
      <c r="I67" s="9">
        <v>30161</v>
      </c>
      <c r="J67" s="92">
        <v>0.01</v>
      </c>
      <c r="K67" s="19" t="s">
        <v>305</v>
      </c>
      <c r="L67" s="39" t="s">
        <v>265</v>
      </c>
      <c r="M67" s="39" t="s">
        <v>265</v>
      </c>
      <c r="N67" s="87" t="s">
        <v>266</v>
      </c>
    </row>
    <row r="68" spans="1:14" s="37" customFormat="1" ht="27.9" customHeight="1" x14ac:dyDescent="0.3">
      <c r="A68" s="260"/>
      <c r="B68" s="21" t="s">
        <v>289</v>
      </c>
      <c r="C68" s="6" t="s">
        <v>290</v>
      </c>
      <c r="D68" s="7" t="s">
        <v>139</v>
      </c>
      <c r="E68" s="7" t="s">
        <v>141</v>
      </c>
      <c r="F68" s="7" t="s">
        <v>155</v>
      </c>
      <c r="G68" s="8" t="s">
        <v>7</v>
      </c>
      <c r="H68" s="9">
        <v>0</v>
      </c>
      <c r="I68" s="9">
        <v>30161</v>
      </c>
      <c r="J68" s="92">
        <v>0</v>
      </c>
      <c r="K68" s="19" t="s">
        <v>305</v>
      </c>
      <c r="L68" s="39" t="s">
        <v>265</v>
      </c>
      <c r="M68" s="39" t="s">
        <v>265</v>
      </c>
      <c r="N68" s="87" t="s">
        <v>266</v>
      </c>
    </row>
    <row r="69" spans="1:14" s="37" customFormat="1" ht="27.9" customHeight="1" x14ac:dyDescent="0.3">
      <c r="A69" s="260"/>
      <c r="B69" s="21" t="s">
        <v>291</v>
      </c>
      <c r="C69" s="6" t="s">
        <v>292</v>
      </c>
      <c r="D69" s="7" t="s">
        <v>139</v>
      </c>
      <c r="E69" s="7" t="s">
        <v>141</v>
      </c>
      <c r="F69" s="7" t="s">
        <v>155</v>
      </c>
      <c r="G69" s="8" t="s">
        <v>7</v>
      </c>
      <c r="H69" s="9">
        <v>2</v>
      </c>
      <c r="I69" s="9">
        <v>30161</v>
      </c>
      <c r="J69" s="92">
        <v>0.01</v>
      </c>
      <c r="K69" s="19" t="s">
        <v>305</v>
      </c>
      <c r="L69" s="39" t="s">
        <v>265</v>
      </c>
      <c r="M69" s="39" t="s">
        <v>265</v>
      </c>
      <c r="N69" s="87" t="s">
        <v>266</v>
      </c>
    </row>
    <row r="70" spans="1:14" s="37" customFormat="1" ht="27.9" customHeight="1" x14ac:dyDescent="0.3">
      <c r="A70" s="260"/>
      <c r="B70" s="21" t="s">
        <v>293</v>
      </c>
      <c r="C70" s="6" t="s">
        <v>294</v>
      </c>
      <c r="D70" s="7" t="s">
        <v>139</v>
      </c>
      <c r="E70" s="7" t="s">
        <v>141</v>
      </c>
      <c r="F70" s="7" t="s">
        <v>155</v>
      </c>
      <c r="G70" s="8" t="s">
        <v>7</v>
      </c>
      <c r="H70" s="9">
        <v>3</v>
      </c>
      <c r="I70" s="9">
        <v>30161</v>
      </c>
      <c r="J70" s="92">
        <v>0.01</v>
      </c>
      <c r="K70" s="19" t="s">
        <v>305</v>
      </c>
      <c r="L70" s="39" t="s">
        <v>265</v>
      </c>
      <c r="M70" s="39" t="s">
        <v>265</v>
      </c>
      <c r="N70" s="87" t="s">
        <v>266</v>
      </c>
    </row>
    <row r="71" spans="1:14" s="37" customFormat="1" ht="27.9" customHeight="1" x14ac:dyDescent="0.3">
      <c r="A71" s="260"/>
      <c r="B71" s="21" t="s">
        <v>295</v>
      </c>
      <c r="C71" s="6" t="s">
        <v>296</v>
      </c>
      <c r="D71" s="7" t="s">
        <v>139</v>
      </c>
      <c r="E71" s="7" t="s">
        <v>141</v>
      </c>
      <c r="F71" s="7" t="s">
        <v>155</v>
      </c>
      <c r="G71" s="8" t="s">
        <v>7</v>
      </c>
      <c r="H71" s="9">
        <v>0</v>
      </c>
      <c r="I71" s="9">
        <v>30161</v>
      </c>
      <c r="J71" s="92">
        <v>0</v>
      </c>
      <c r="K71" s="19" t="s">
        <v>305</v>
      </c>
      <c r="L71" s="39" t="s">
        <v>265</v>
      </c>
      <c r="M71" s="39" t="s">
        <v>265</v>
      </c>
      <c r="N71" s="87" t="s">
        <v>266</v>
      </c>
    </row>
    <row r="72" spans="1:14" s="37" customFormat="1" ht="27.9" customHeight="1" x14ac:dyDescent="0.3">
      <c r="A72" s="260"/>
      <c r="B72" s="21" t="s">
        <v>297</v>
      </c>
      <c r="C72" s="6" t="s">
        <v>298</v>
      </c>
      <c r="D72" s="7" t="s">
        <v>139</v>
      </c>
      <c r="E72" s="7" t="s">
        <v>141</v>
      </c>
      <c r="F72" s="7" t="s">
        <v>155</v>
      </c>
      <c r="G72" s="8" t="s">
        <v>7</v>
      </c>
      <c r="H72" s="9">
        <v>0</v>
      </c>
      <c r="I72" s="9">
        <v>30161</v>
      </c>
      <c r="J72" s="92">
        <v>0</v>
      </c>
      <c r="K72" s="19" t="s">
        <v>305</v>
      </c>
      <c r="L72" s="39" t="s">
        <v>265</v>
      </c>
      <c r="M72" s="39" t="s">
        <v>265</v>
      </c>
      <c r="N72" s="87" t="s">
        <v>266</v>
      </c>
    </row>
    <row r="73" spans="1:14" s="37" customFormat="1" ht="27.9" customHeight="1" x14ac:dyDescent="0.3">
      <c r="A73" s="260"/>
      <c r="B73" s="21" t="s">
        <v>299</v>
      </c>
      <c r="C73" s="6" t="s">
        <v>300</v>
      </c>
      <c r="D73" s="7" t="s">
        <v>139</v>
      </c>
      <c r="E73" s="7" t="s">
        <v>141</v>
      </c>
      <c r="F73" s="7" t="s">
        <v>155</v>
      </c>
      <c r="G73" s="8" t="s">
        <v>7</v>
      </c>
      <c r="H73" s="9">
        <v>1</v>
      </c>
      <c r="I73" s="9">
        <v>30161</v>
      </c>
      <c r="J73" s="92">
        <v>0</v>
      </c>
      <c r="K73" s="19" t="s">
        <v>305</v>
      </c>
      <c r="L73" s="39" t="s">
        <v>265</v>
      </c>
      <c r="M73" s="39" t="s">
        <v>265</v>
      </c>
      <c r="N73" s="87" t="s">
        <v>266</v>
      </c>
    </row>
    <row r="74" spans="1:14" ht="27.9" customHeight="1" x14ac:dyDescent="0.3">
      <c r="A74" s="260"/>
      <c r="B74" s="21" t="s">
        <v>47</v>
      </c>
      <c r="C74" s="6" t="s">
        <v>430</v>
      </c>
      <c r="D74" s="7" t="s">
        <v>139</v>
      </c>
      <c r="E74" s="7" t="s">
        <v>141</v>
      </c>
      <c r="F74" s="7" t="s">
        <v>155</v>
      </c>
      <c r="G74" s="8" t="s">
        <v>7</v>
      </c>
      <c r="H74" s="9">
        <v>50</v>
      </c>
      <c r="I74" s="9">
        <v>983</v>
      </c>
      <c r="J74" s="92">
        <v>5.09</v>
      </c>
      <c r="K74" s="19" t="s">
        <v>273</v>
      </c>
      <c r="L74" s="43" t="s">
        <v>265</v>
      </c>
      <c r="M74" s="43" t="s">
        <v>265</v>
      </c>
      <c r="N74" s="87" t="s">
        <v>266</v>
      </c>
    </row>
    <row r="75" spans="1:14" ht="27.9" customHeight="1" x14ac:dyDescent="0.3">
      <c r="A75" s="260"/>
      <c r="B75" s="21" t="s">
        <v>48</v>
      </c>
      <c r="C75" s="6" t="s">
        <v>431</v>
      </c>
      <c r="D75" s="7" t="s">
        <v>139</v>
      </c>
      <c r="E75" s="7" t="s">
        <v>141</v>
      </c>
      <c r="F75" s="7" t="s">
        <v>155</v>
      </c>
      <c r="G75" s="8" t="s">
        <v>7</v>
      </c>
      <c r="H75" s="9">
        <v>14</v>
      </c>
      <c r="I75" s="9">
        <v>983</v>
      </c>
      <c r="J75" s="92">
        <v>1.42</v>
      </c>
      <c r="K75" s="19" t="s">
        <v>305</v>
      </c>
      <c r="L75" s="43" t="s">
        <v>265</v>
      </c>
      <c r="M75" s="43" t="s">
        <v>265</v>
      </c>
      <c r="N75" s="87" t="s">
        <v>266</v>
      </c>
    </row>
    <row r="76" spans="1:14" ht="27.9" customHeight="1" x14ac:dyDescent="0.3">
      <c r="A76" s="260"/>
      <c r="B76" s="21" t="s">
        <v>49</v>
      </c>
      <c r="C76" s="6" t="s">
        <v>432</v>
      </c>
      <c r="D76" s="7" t="s">
        <v>139</v>
      </c>
      <c r="E76" s="7" t="s">
        <v>141</v>
      </c>
      <c r="F76" s="7" t="s">
        <v>155</v>
      </c>
      <c r="G76" s="8" t="s">
        <v>7</v>
      </c>
      <c r="H76" s="9">
        <v>36</v>
      </c>
      <c r="I76" s="9">
        <v>983</v>
      </c>
      <c r="J76" s="92">
        <v>3.66</v>
      </c>
      <c r="K76" s="19" t="s">
        <v>305</v>
      </c>
      <c r="L76" s="43" t="s">
        <v>265</v>
      </c>
      <c r="M76" s="43" t="s">
        <v>265</v>
      </c>
      <c r="N76" s="87" t="s">
        <v>266</v>
      </c>
    </row>
    <row r="77" spans="1:14" ht="27.9" customHeight="1" x14ac:dyDescent="0.3">
      <c r="A77" s="260"/>
      <c r="B77" s="21" t="s">
        <v>50</v>
      </c>
      <c r="C77" s="6" t="s">
        <v>433</v>
      </c>
      <c r="D77" s="7" t="s">
        <v>139</v>
      </c>
      <c r="E77" s="7" t="s">
        <v>141</v>
      </c>
      <c r="F77" s="7" t="s">
        <v>155</v>
      </c>
      <c r="G77" s="8" t="s">
        <v>7</v>
      </c>
      <c r="H77" s="9">
        <v>3</v>
      </c>
      <c r="I77" s="9">
        <v>983</v>
      </c>
      <c r="J77" s="92">
        <v>0.31</v>
      </c>
      <c r="K77" s="19" t="s">
        <v>305</v>
      </c>
      <c r="L77" s="43" t="s">
        <v>265</v>
      </c>
      <c r="M77" s="43" t="s">
        <v>265</v>
      </c>
      <c r="N77" s="87" t="s">
        <v>266</v>
      </c>
    </row>
    <row r="78" spans="1:14" ht="27.9" customHeight="1" x14ac:dyDescent="0.3">
      <c r="A78" s="260"/>
      <c r="B78" s="21" t="s">
        <v>51</v>
      </c>
      <c r="C78" s="6" t="s">
        <v>434</v>
      </c>
      <c r="D78" s="7" t="s">
        <v>139</v>
      </c>
      <c r="E78" s="7" t="s">
        <v>141</v>
      </c>
      <c r="F78" s="7" t="s">
        <v>155</v>
      </c>
      <c r="G78" s="8" t="s">
        <v>7</v>
      </c>
      <c r="H78" s="9">
        <v>0</v>
      </c>
      <c r="I78" s="9">
        <v>983</v>
      </c>
      <c r="J78" s="92">
        <v>0</v>
      </c>
      <c r="K78" s="19" t="s">
        <v>305</v>
      </c>
      <c r="L78" s="43" t="s">
        <v>265</v>
      </c>
      <c r="M78" s="43" t="s">
        <v>265</v>
      </c>
      <c r="N78" s="87" t="s">
        <v>266</v>
      </c>
    </row>
    <row r="79" spans="1:14" ht="27.9" customHeight="1" x14ac:dyDescent="0.3">
      <c r="A79" s="260"/>
      <c r="B79" s="21" t="s">
        <v>52</v>
      </c>
      <c r="C79" s="6" t="s">
        <v>435</v>
      </c>
      <c r="D79" s="7" t="s">
        <v>139</v>
      </c>
      <c r="E79" s="7" t="s">
        <v>141</v>
      </c>
      <c r="F79" s="7" t="s">
        <v>155</v>
      </c>
      <c r="G79" s="8" t="s">
        <v>7</v>
      </c>
      <c r="H79" s="9">
        <v>4</v>
      </c>
      <c r="I79" s="9">
        <v>983</v>
      </c>
      <c r="J79" s="92">
        <v>0.41</v>
      </c>
      <c r="K79" s="19" t="s">
        <v>305</v>
      </c>
      <c r="L79" s="43" t="s">
        <v>265</v>
      </c>
      <c r="M79" s="43" t="s">
        <v>265</v>
      </c>
      <c r="N79" s="87" t="s">
        <v>266</v>
      </c>
    </row>
    <row r="80" spans="1:14" ht="27.9" customHeight="1" x14ac:dyDescent="0.3">
      <c r="A80" s="260"/>
      <c r="B80" s="21" t="s">
        <v>53</v>
      </c>
      <c r="C80" s="6" t="s">
        <v>436</v>
      </c>
      <c r="D80" s="7" t="s">
        <v>139</v>
      </c>
      <c r="E80" s="7" t="s">
        <v>141</v>
      </c>
      <c r="F80" s="7" t="s">
        <v>155</v>
      </c>
      <c r="G80" s="8" t="s">
        <v>7</v>
      </c>
      <c r="H80" s="9">
        <v>2</v>
      </c>
      <c r="I80" s="9">
        <v>983</v>
      </c>
      <c r="J80" s="92">
        <v>0.2</v>
      </c>
      <c r="K80" s="19" t="s">
        <v>305</v>
      </c>
      <c r="L80" s="43" t="s">
        <v>265</v>
      </c>
      <c r="M80" s="43" t="s">
        <v>265</v>
      </c>
      <c r="N80" s="87" t="s">
        <v>266</v>
      </c>
    </row>
    <row r="81" spans="1:14" ht="27.9" customHeight="1" x14ac:dyDescent="0.3">
      <c r="A81" s="260"/>
      <c r="B81" s="21" t="s">
        <v>54</v>
      </c>
      <c r="C81" s="6" t="s">
        <v>55</v>
      </c>
      <c r="D81" s="7" t="s">
        <v>139</v>
      </c>
      <c r="E81" s="7" t="s">
        <v>141</v>
      </c>
      <c r="F81" s="7" t="s">
        <v>155</v>
      </c>
      <c r="G81" s="8" t="s">
        <v>7</v>
      </c>
      <c r="H81" s="9">
        <v>118</v>
      </c>
      <c r="I81" s="9">
        <v>30161</v>
      </c>
      <c r="J81" s="92">
        <v>0.39</v>
      </c>
      <c r="K81" s="19" t="s">
        <v>273</v>
      </c>
      <c r="L81" s="43" t="s">
        <v>265</v>
      </c>
      <c r="M81" s="43" t="s">
        <v>265</v>
      </c>
      <c r="N81" s="87" t="s">
        <v>266</v>
      </c>
    </row>
    <row r="82" spans="1:14" ht="27.9" customHeight="1" x14ac:dyDescent="0.3">
      <c r="A82" s="260"/>
      <c r="B82" s="21" t="s">
        <v>56</v>
      </c>
      <c r="C82" s="6" t="s">
        <v>347</v>
      </c>
      <c r="D82" s="19" t="s">
        <v>139</v>
      </c>
      <c r="E82" s="19" t="s">
        <v>141</v>
      </c>
      <c r="F82" s="19" t="s">
        <v>154</v>
      </c>
      <c r="G82" s="8" t="s">
        <v>7</v>
      </c>
      <c r="H82" s="9">
        <v>10</v>
      </c>
      <c r="I82" s="9">
        <v>118</v>
      </c>
      <c r="J82" s="92">
        <v>8.4700000000000006</v>
      </c>
      <c r="K82" s="134" t="s">
        <v>492</v>
      </c>
      <c r="L82" s="39">
        <v>76.33</v>
      </c>
      <c r="M82" s="39">
        <v>46.61</v>
      </c>
      <c r="N82" s="87" t="s">
        <v>266</v>
      </c>
    </row>
    <row r="83" spans="1:14" ht="27.9" customHeight="1" thickBot="1" x14ac:dyDescent="0.35">
      <c r="A83" s="260"/>
      <c r="B83" s="21" t="s">
        <v>57</v>
      </c>
      <c r="C83" s="6" t="s">
        <v>58</v>
      </c>
      <c r="D83" s="7" t="s">
        <v>139</v>
      </c>
      <c r="E83" s="7" t="s">
        <v>141</v>
      </c>
      <c r="F83" s="7" t="s">
        <v>155</v>
      </c>
      <c r="G83" s="8" t="s">
        <v>7</v>
      </c>
      <c r="H83" s="9">
        <v>6</v>
      </c>
      <c r="I83" s="9">
        <v>118</v>
      </c>
      <c r="J83" s="92">
        <v>5.08</v>
      </c>
      <c r="K83" s="19" t="s">
        <v>305</v>
      </c>
      <c r="L83" s="43" t="s">
        <v>265</v>
      </c>
      <c r="M83" s="43" t="s">
        <v>265</v>
      </c>
      <c r="N83" s="87" t="s">
        <v>266</v>
      </c>
    </row>
    <row r="84" spans="1:14" ht="39.9" customHeight="1" x14ac:dyDescent="0.3">
      <c r="A84" s="259" t="s">
        <v>156</v>
      </c>
      <c r="B84" s="20" t="s">
        <v>62</v>
      </c>
      <c r="C84" s="2" t="s">
        <v>63</v>
      </c>
      <c r="D84" s="3" t="s">
        <v>142</v>
      </c>
      <c r="E84" s="3" t="s">
        <v>142</v>
      </c>
      <c r="F84" s="3" t="s">
        <v>154</v>
      </c>
      <c r="G84" s="4" t="s">
        <v>7</v>
      </c>
      <c r="H84" s="5">
        <v>0</v>
      </c>
      <c r="I84" s="5">
        <v>0</v>
      </c>
      <c r="J84" s="95" t="s">
        <v>499</v>
      </c>
      <c r="K84" s="36" t="s">
        <v>263</v>
      </c>
      <c r="L84" s="17" t="s">
        <v>503</v>
      </c>
      <c r="M84" s="17" t="s">
        <v>503</v>
      </c>
      <c r="N84" s="91"/>
    </row>
    <row r="85" spans="1:14" ht="39.9" customHeight="1" x14ac:dyDescent="0.3">
      <c r="A85" s="260"/>
      <c r="B85" s="21" t="s">
        <v>64</v>
      </c>
      <c r="C85" s="6" t="s">
        <v>311</v>
      </c>
      <c r="D85" s="7" t="s">
        <v>142</v>
      </c>
      <c r="E85" s="7" t="s">
        <v>142</v>
      </c>
      <c r="F85" s="7" t="s">
        <v>154</v>
      </c>
      <c r="G85" s="8" t="s">
        <v>7</v>
      </c>
      <c r="H85" s="9">
        <v>0</v>
      </c>
      <c r="I85" s="9">
        <v>2</v>
      </c>
      <c r="J85" s="92">
        <v>0</v>
      </c>
      <c r="K85" s="134" t="s">
        <v>263</v>
      </c>
      <c r="L85" s="18">
        <v>22.22</v>
      </c>
      <c r="M85" s="18">
        <v>13.73</v>
      </c>
      <c r="N85" s="87" t="s">
        <v>266</v>
      </c>
    </row>
    <row r="86" spans="1:14" ht="39.9" customHeight="1" x14ac:dyDescent="0.3">
      <c r="A86" s="260"/>
      <c r="B86" s="21" t="s">
        <v>65</v>
      </c>
      <c r="C86" s="6" t="s">
        <v>341</v>
      </c>
      <c r="D86" s="19" t="s">
        <v>142</v>
      </c>
      <c r="E86" s="19" t="s">
        <v>142</v>
      </c>
      <c r="F86" s="19" t="s">
        <v>154</v>
      </c>
      <c r="G86" s="8" t="s">
        <v>7</v>
      </c>
      <c r="H86" s="9">
        <v>0</v>
      </c>
      <c r="I86" s="9">
        <v>0</v>
      </c>
      <c r="J86" s="92" t="s">
        <v>499</v>
      </c>
      <c r="K86" s="134" t="s">
        <v>263</v>
      </c>
      <c r="L86" s="18">
        <v>10</v>
      </c>
      <c r="M86" s="18">
        <v>7.81</v>
      </c>
      <c r="N86" s="87"/>
    </row>
    <row r="87" spans="1:14" ht="39.9" customHeight="1" x14ac:dyDescent="0.3">
      <c r="A87" s="260"/>
      <c r="B87" s="21" t="s">
        <v>66</v>
      </c>
      <c r="C87" s="6" t="s">
        <v>165</v>
      </c>
      <c r="D87" s="7" t="s">
        <v>142</v>
      </c>
      <c r="E87" s="7" t="s">
        <v>142</v>
      </c>
      <c r="F87" s="7" t="s">
        <v>154</v>
      </c>
      <c r="G87" s="8" t="s">
        <v>7</v>
      </c>
      <c r="H87" s="9">
        <v>0</v>
      </c>
      <c r="I87" s="9">
        <v>0</v>
      </c>
      <c r="J87" s="92" t="s">
        <v>499</v>
      </c>
      <c r="K87" s="134" t="s">
        <v>263</v>
      </c>
      <c r="L87" s="18">
        <v>0</v>
      </c>
      <c r="M87" s="18">
        <v>1.35</v>
      </c>
      <c r="N87" s="87"/>
    </row>
    <row r="88" spans="1:14" ht="39.9" customHeight="1" x14ac:dyDescent="0.3">
      <c r="A88" s="260"/>
      <c r="B88" s="21" t="s">
        <v>67</v>
      </c>
      <c r="C88" s="6" t="s">
        <v>166</v>
      </c>
      <c r="D88" s="7" t="s">
        <v>142</v>
      </c>
      <c r="E88" s="7" t="s">
        <v>142</v>
      </c>
      <c r="F88" s="7" t="s">
        <v>154</v>
      </c>
      <c r="G88" s="8" t="s">
        <v>7</v>
      </c>
      <c r="H88" s="9">
        <v>0</v>
      </c>
      <c r="I88" s="9">
        <v>1</v>
      </c>
      <c r="J88" s="92">
        <v>0</v>
      </c>
      <c r="K88" s="134" t="s">
        <v>263</v>
      </c>
      <c r="L88" s="18">
        <v>0</v>
      </c>
      <c r="M88" s="18">
        <v>0.94</v>
      </c>
      <c r="N88" s="87" t="s">
        <v>266</v>
      </c>
    </row>
    <row r="89" spans="1:14" ht="39.9" customHeight="1" x14ac:dyDescent="0.3">
      <c r="A89" s="260"/>
      <c r="B89" s="21" t="s">
        <v>68</v>
      </c>
      <c r="C89" s="6" t="s">
        <v>69</v>
      </c>
      <c r="D89" s="7" t="s">
        <v>142</v>
      </c>
      <c r="E89" s="7" t="s">
        <v>142</v>
      </c>
      <c r="F89" s="7" t="s">
        <v>154</v>
      </c>
      <c r="G89" s="8" t="s">
        <v>7</v>
      </c>
      <c r="H89" s="9">
        <v>0</v>
      </c>
      <c r="I89" s="9">
        <v>3</v>
      </c>
      <c r="J89" s="92">
        <v>0</v>
      </c>
      <c r="K89" s="134" t="s">
        <v>263</v>
      </c>
      <c r="L89" s="18">
        <v>0</v>
      </c>
      <c r="M89" s="18">
        <v>0</v>
      </c>
      <c r="N89" s="87" t="s">
        <v>266</v>
      </c>
    </row>
    <row r="90" spans="1:14" ht="39.9" customHeight="1" x14ac:dyDescent="0.3">
      <c r="A90" s="260"/>
      <c r="B90" s="21" t="s">
        <v>70</v>
      </c>
      <c r="C90" s="6" t="s">
        <v>330</v>
      </c>
      <c r="D90" s="7" t="s">
        <v>142</v>
      </c>
      <c r="E90" s="7" t="s">
        <v>142</v>
      </c>
      <c r="F90" s="7" t="s">
        <v>154</v>
      </c>
      <c r="G90" s="8" t="s">
        <v>7</v>
      </c>
      <c r="H90" s="9">
        <v>0</v>
      </c>
      <c r="I90" s="9">
        <v>4</v>
      </c>
      <c r="J90" s="92">
        <v>0</v>
      </c>
      <c r="K90" s="134" t="s">
        <v>263</v>
      </c>
      <c r="L90" s="18">
        <v>0</v>
      </c>
      <c r="M90" s="18">
        <v>0</v>
      </c>
      <c r="N90" s="87" t="s">
        <v>266</v>
      </c>
    </row>
    <row r="91" spans="1:14" ht="39.9" customHeight="1" x14ac:dyDescent="0.3">
      <c r="A91" s="260"/>
      <c r="B91" s="21" t="s">
        <v>71</v>
      </c>
      <c r="C91" s="6" t="s">
        <v>72</v>
      </c>
      <c r="D91" s="7" t="s">
        <v>142</v>
      </c>
      <c r="E91" s="7" t="s">
        <v>142</v>
      </c>
      <c r="F91" s="7" t="s">
        <v>154</v>
      </c>
      <c r="G91" s="8" t="s">
        <v>7</v>
      </c>
      <c r="H91" s="9">
        <v>0</v>
      </c>
      <c r="I91" s="9">
        <v>5</v>
      </c>
      <c r="J91" s="92">
        <v>0</v>
      </c>
      <c r="K91" s="134" t="s">
        <v>263</v>
      </c>
      <c r="L91" s="18">
        <v>0</v>
      </c>
      <c r="M91" s="18">
        <v>0</v>
      </c>
      <c r="N91" s="87" t="s">
        <v>266</v>
      </c>
    </row>
    <row r="92" spans="1:14" ht="39.9" customHeight="1" x14ac:dyDescent="0.3">
      <c r="A92" s="260"/>
      <c r="B92" s="21" t="s">
        <v>73</v>
      </c>
      <c r="C92" s="6" t="s">
        <v>74</v>
      </c>
      <c r="D92" s="7" t="s">
        <v>142</v>
      </c>
      <c r="E92" s="7" t="s">
        <v>142</v>
      </c>
      <c r="F92" s="7" t="s">
        <v>154</v>
      </c>
      <c r="G92" s="8" t="s">
        <v>7</v>
      </c>
      <c r="H92" s="9">
        <v>0</v>
      </c>
      <c r="I92" s="9">
        <v>54</v>
      </c>
      <c r="J92" s="92">
        <v>0</v>
      </c>
      <c r="K92" s="134" t="s">
        <v>263</v>
      </c>
      <c r="L92" s="18">
        <v>0</v>
      </c>
      <c r="M92" s="18">
        <v>0.02</v>
      </c>
      <c r="N92" s="87" t="s">
        <v>266</v>
      </c>
    </row>
    <row r="93" spans="1:14" ht="39.9" customHeight="1" x14ac:dyDescent="0.3">
      <c r="A93" s="260"/>
      <c r="B93" s="21" t="s">
        <v>75</v>
      </c>
      <c r="C93" s="6" t="s">
        <v>76</v>
      </c>
      <c r="D93" s="7" t="s">
        <v>142</v>
      </c>
      <c r="E93" s="7" t="s">
        <v>142</v>
      </c>
      <c r="F93" s="7" t="s">
        <v>154</v>
      </c>
      <c r="G93" s="8" t="s">
        <v>7</v>
      </c>
      <c r="H93" s="9">
        <v>0</v>
      </c>
      <c r="I93" s="9">
        <v>0</v>
      </c>
      <c r="J93" s="92" t="s">
        <v>499</v>
      </c>
      <c r="K93" s="134" t="s">
        <v>263</v>
      </c>
      <c r="L93" s="18" t="s">
        <v>504</v>
      </c>
      <c r="M93" s="18" t="s">
        <v>504</v>
      </c>
      <c r="N93" s="87" t="s">
        <v>266</v>
      </c>
    </row>
    <row r="94" spans="1:14" ht="39.9" customHeight="1" x14ac:dyDescent="0.3">
      <c r="A94" s="260"/>
      <c r="B94" s="21" t="s">
        <v>77</v>
      </c>
      <c r="C94" s="6" t="s">
        <v>78</v>
      </c>
      <c r="D94" s="7" t="s">
        <v>142</v>
      </c>
      <c r="E94" s="7" t="s">
        <v>142</v>
      </c>
      <c r="F94" s="7" t="s">
        <v>154</v>
      </c>
      <c r="G94" s="8" t="s">
        <v>7</v>
      </c>
      <c r="H94" s="9">
        <v>0</v>
      </c>
      <c r="I94" s="9">
        <v>0</v>
      </c>
      <c r="J94" s="92" t="s">
        <v>499</v>
      </c>
      <c r="K94" s="134" t="s">
        <v>263</v>
      </c>
      <c r="L94" s="18" t="s">
        <v>504</v>
      </c>
      <c r="M94" s="18" t="s">
        <v>504</v>
      </c>
      <c r="N94" s="87" t="s">
        <v>266</v>
      </c>
    </row>
    <row r="95" spans="1:14" ht="39.9" customHeight="1" x14ac:dyDescent="0.3">
      <c r="A95" s="260"/>
      <c r="B95" s="21" t="s">
        <v>79</v>
      </c>
      <c r="C95" s="6" t="s">
        <v>80</v>
      </c>
      <c r="D95" s="7" t="s">
        <v>142</v>
      </c>
      <c r="E95" s="7" t="s">
        <v>142</v>
      </c>
      <c r="F95" s="7" t="s">
        <v>154</v>
      </c>
      <c r="G95" s="8" t="s">
        <v>7</v>
      </c>
      <c r="H95" s="9">
        <v>0</v>
      </c>
      <c r="I95" s="9">
        <v>0</v>
      </c>
      <c r="J95" s="92" t="s">
        <v>499</v>
      </c>
      <c r="K95" s="134" t="s">
        <v>263</v>
      </c>
      <c r="L95" s="18" t="s">
        <v>503</v>
      </c>
      <c r="M95" s="18" t="s">
        <v>503</v>
      </c>
      <c r="N95" s="87"/>
    </row>
    <row r="96" spans="1:14" ht="39.9" customHeight="1" x14ac:dyDescent="0.3">
      <c r="A96" s="260"/>
      <c r="B96" s="21" t="s">
        <v>81</v>
      </c>
      <c r="C96" s="6" t="s">
        <v>82</v>
      </c>
      <c r="D96" s="7" t="s">
        <v>142</v>
      </c>
      <c r="E96" s="7" t="s">
        <v>142</v>
      </c>
      <c r="F96" s="7" t="s">
        <v>154</v>
      </c>
      <c r="G96" s="8" t="s">
        <v>7</v>
      </c>
      <c r="H96" s="9">
        <v>0</v>
      </c>
      <c r="I96" s="9">
        <v>0</v>
      </c>
      <c r="J96" s="92" t="s">
        <v>499</v>
      </c>
      <c r="K96" s="134" t="s">
        <v>263</v>
      </c>
      <c r="L96" s="18" t="s">
        <v>503</v>
      </c>
      <c r="M96" s="18" t="s">
        <v>503</v>
      </c>
      <c r="N96" s="87"/>
    </row>
    <row r="97" spans="1:14" ht="39.9" customHeight="1" x14ac:dyDescent="0.3">
      <c r="A97" s="260"/>
      <c r="B97" s="21" t="s">
        <v>83</v>
      </c>
      <c r="C97" s="6" t="s">
        <v>84</v>
      </c>
      <c r="D97" s="7" t="s">
        <v>142</v>
      </c>
      <c r="E97" s="7" t="s">
        <v>142</v>
      </c>
      <c r="F97" s="7" t="s">
        <v>154</v>
      </c>
      <c r="G97" s="8" t="s">
        <v>7</v>
      </c>
      <c r="H97" s="9">
        <v>0</v>
      </c>
      <c r="I97" s="9">
        <v>0</v>
      </c>
      <c r="J97" s="92" t="s">
        <v>499</v>
      </c>
      <c r="K97" s="134" t="s">
        <v>263</v>
      </c>
      <c r="L97" s="18" t="s">
        <v>503</v>
      </c>
      <c r="M97" s="18" t="s">
        <v>503</v>
      </c>
      <c r="N97" s="87"/>
    </row>
    <row r="98" spans="1:14" ht="39.9" customHeight="1" x14ac:dyDescent="0.3">
      <c r="A98" s="260"/>
      <c r="B98" s="21" t="s">
        <v>85</v>
      </c>
      <c r="C98" s="6" t="s">
        <v>86</v>
      </c>
      <c r="D98" s="7" t="s">
        <v>142</v>
      </c>
      <c r="E98" s="7" t="s">
        <v>142</v>
      </c>
      <c r="F98" s="7" t="s">
        <v>154</v>
      </c>
      <c r="G98" s="8" t="s">
        <v>7</v>
      </c>
      <c r="H98" s="9">
        <v>0</v>
      </c>
      <c r="I98" s="9">
        <v>0</v>
      </c>
      <c r="J98" s="92" t="s">
        <v>499</v>
      </c>
      <c r="K98" s="134" t="s">
        <v>263</v>
      </c>
      <c r="L98" s="18" t="s">
        <v>503</v>
      </c>
      <c r="M98" s="18" t="s">
        <v>503</v>
      </c>
      <c r="N98" s="87"/>
    </row>
    <row r="99" spans="1:14" ht="39.9" customHeight="1" x14ac:dyDescent="0.3">
      <c r="A99" s="260"/>
      <c r="B99" s="21" t="s">
        <v>87</v>
      </c>
      <c r="C99" s="6" t="s">
        <v>88</v>
      </c>
      <c r="D99" s="7" t="s">
        <v>142</v>
      </c>
      <c r="E99" s="7" t="s">
        <v>142</v>
      </c>
      <c r="F99" s="7" t="s">
        <v>154</v>
      </c>
      <c r="G99" s="8" t="s">
        <v>7</v>
      </c>
      <c r="H99" s="9">
        <v>0</v>
      </c>
      <c r="I99" s="9">
        <v>0</v>
      </c>
      <c r="J99" s="92" t="s">
        <v>499</v>
      </c>
      <c r="K99" s="134" t="s">
        <v>263</v>
      </c>
      <c r="L99" s="18" t="s">
        <v>503</v>
      </c>
      <c r="M99" s="18" t="s">
        <v>503</v>
      </c>
      <c r="N99" s="87"/>
    </row>
    <row r="100" spans="1:14" ht="39.9" customHeight="1" x14ac:dyDescent="0.3">
      <c r="A100" s="260"/>
      <c r="B100" s="21" t="s">
        <v>89</v>
      </c>
      <c r="C100" s="6" t="s">
        <v>90</v>
      </c>
      <c r="D100" s="7" t="s">
        <v>142</v>
      </c>
      <c r="E100" s="7" t="s">
        <v>142</v>
      </c>
      <c r="F100" s="7" t="s">
        <v>154</v>
      </c>
      <c r="G100" s="8" t="s">
        <v>7</v>
      </c>
      <c r="H100" s="9">
        <v>0</v>
      </c>
      <c r="I100" s="9">
        <v>0</v>
      </c>
      <c r="J100" s="92" t="s">
        <v>499</v>
      </c>
      <c r="K100" s="134" t="s">
        <v>263</v>
      </c>
      <c r="L100" s="18">
        <v>0</v>
      </c>
      <c r="M100" s="18">
        <v>1.75</v>
      </c>
      <c r="N100" s="87"/>
    </row>
    <row r="101" spans="1:14" ht="39.9" customHeight="1" x14ac:dyDescent="0.3">
      <c r="A101" s="260"/>
      <c r="B101" s="21" t="s">
        <v>91</v>
      </c>
      <c r="C101" s="6" t="s">
        <v>345</v>
      </c>
      <c r="D101" s="7" t="s">
        <v>142</v>
      </c>
      <c r="E101" s="7" t="s">
        <v>142</v>
      </c>
      <c r="F101" s="7" t="s">
        <v>154</v>
      </c>
      <c r="G101" s="8" t="s">
        <v>7</v>
      </c>
      <c r="H101" s="9">
        <v>0</v>
      </c>
      <c r="I101" s="9">
        <v>2</v>
      </c>
      <c r="J101" s="92">
        <v>0</v>
      </c>
      <c r="K101" s="134" t="s">
        <v>263</v>
      </c>
      <c r="L101" s="18">
        <v>0</v>
      </c>
      <c r="M101" s="18">
        <v>1.23</v>
      </c>
      <c r="N101" s="87" t="s">
        <v>266</v>
      </c>
    </row>
    <row r="102" spans="1:14" ht="27.9" customHeight="1" x14ac:dyDescent="0.3">
      <c r="A102" s="260"/>
      <c r="B102" s="21" t="s">
        <v>104</v>
      </c>
      <c r="C102" s="6" t="s">
        <v>496</v>
      </c>
      <c r="D102" s="19" t="s">
        <v>142</v>
      </c>
      <c r="E102" s="19" t="s">
        <v>142</v>
      </c>
      <c r="F102" s="19" t="s">
        <v>154</v>
      </c>
      <c r="G102" s="8" t="s">
        <v>7</v>
      </c>
      <c r="H102" s="9">
        <v>12</v>
      </c>
      <c r="I102" s="9">
        <v>641</v>
      </c>
      <c r="J102" s="92">
        <v>1.87</v>
      </c>
      <c r="K102" s="134" t="s">
        <v>263</v>
      </c>
      <c r="L102" s="39">
        <v>3.3</v>
      </c>
      <c r="M102" s="39">
        <v>2.65</v>
      </c>
      <c r="N102" s="87" t="s">
        <v>266</v>
      </c>
    </row>
    <row r="103" spans="1:14" ht="27.9" customHeight="1" x14ac:dyDescent="0.3">
      <c r="A103" s="260"/>
      <c r="B103" s="21" t="s">
        <v>180</v>
      </c>
      <c r="C103" s="6" t="s">
        <v>164</v>
      </c>
      <c r="D103" s="7" t="s">
        <v>500</v>
      </c>
      <c r="E103" s="7" t="s">
        <v>142</v>
      </c>
      <c r="F103" s="7" t="s">
        <v>154</v>
      </c>
      <c r="G103" s="8" t="s">
        <v>9</v>
      </c>
      <c r="H103" s="9">
        <v>0</v>
      </c>
      <c r="I103" s="9">
        <v>26</v>
      </c>
      <c r="J103" s="92">
        <v>0</v>
      </c>
      <c r="K103" s="134" t="s">
        <v>263</v>
      </c>
      <c r="L103" s="39">
        <v>3.12</v>
      </c>
      <c r="M103" s="39">
        <v>1.79</v>
      </c>
      <c r="N103" s="87" t="s">
        <v>266</v>
      </c>
    </row>
    <row r="104" spans="1:14" ht="27.9" customHeight="1" x14ac:dyDescent="0.3">
      <c r="A104" s="262"/>
      <c r="B104" s="114" t="s">
        <v>105</v>
      </c>
      <c r="C104" s="115" t="s">
        <v>470</v>
      </c>
      <c r="D104" s="116" t="s">
        <v>500</v>
      </c>
      <c r="E104" s="116" t="s">
        <v>142</v>
      </c>
      <c r="F104" s="7" t="s">
        <v>155</v>
      </c>
      <c r="G104" s="117" t="s">
        <v>7</v>
      </c>
      <c r="H104" s="118">
        <v>26</v>
      </c>
      <c r="I104" s="118">
        <v>63</v>
      </c>
      <c r="J104" s="119">
        <v>41.27</v>
      </c>
      <c r="K104" s="134" t="s">
        <v>155</v>
      </c>
      <c r="L104" s="120" t="s">
        <v>265</v>
      </c>
      <c r="M104" s="120" t="s">
        <v>265</v>
      </c>
      <c r="N104" s="121" t="s">
        <v>266</v>
      </c>
    </row>
    <row r="105" spans="1:14" ht="27.9" customHeight="1" thickBot="1" x14ac:dyDescent="0.35">
      <c r="A105" s="261"/>
      <c r="B105" s="22" t="s">
        <v>471</v>
      </c>
      <c r="C105" s="10" t="s">
        <v>472</v>
      </c>
      <c r="D105" s="30" t="s">
        <v>477</v>
      </c>
      <c r="E105" s="30" t="s">
        <v>478</v>
      </c>
      <c r="F105" s="7" t="s">
        <v>479</v>
      </c>
      <c r="G105" s="12" t="s">
        <v>9</v>
      </c>
      <c r="H105" s="13">
        <v>0</v>
      </c>
      <c r="I105" s="13">
        <v>0</v>
      </c>
      <c r="J105" s="93" t="s">
        <v>499</v>
      </c>
      <c r="K105" s="136" t="s">
        <v>263</v>
      </c>
      <c r="L105" s="125">
        <v>0.85</v>
      </c>
      <c r="M105" s="125">
        <v>0.65</v>
      </c>
      <c r="N105" s="88"/>
    </row>
    <row r="106" spans="1:14" ht="27.9" customHeight="1" x14ac:dyDescent="0.3">
      <c r="A106" s="259" t="s">
        <v>143</v>
      </c>
      <c r="B106" s="214" t="s">
        <v>92</v>
      </c>
      <c r="C106" s="215" t="s">
        <v>93</v>
      </c>
      <c r="D106" s="216" t="s">
        <v>144</v>
      </c>
      <c r="E106" s="216" t="s">
        <v>145</v>
      </c>
      <c r="F106" s="216" t="s">
        <v>154</v>
      </c>
      <c r="G106" s="217" t="s">
        <v>7</v>
      </c>
      <c r="H106" s="218">
        <v>22</v>
      </c>
      <c r="I106" s="218">
        <v>54</v>
      </c>
      <c r="J106" s="219">
        <v>40.74</v>
      </c>
      <c r="K106" s="220" t="s">
        <v>524</v>
      </c>
      <c r="L106" s="221">
        <v>45.04</v>
      </c>
      <c r="M106" s="221">
        <v>38.57</v>
      </c>
      <c r="N106" s="222" t="s">
        <v>520</v>
      </c>
    </row>
    <row r="107" spans="1:14" ht="27.9" customHeight="1" x14ac:dyDescent="0.3">
      <c r="A107" s="260"/>
      <c r="B107" s="205" t="s">
        <v>94</v>
      </c>
      <c r="C107" s="206" t="s">
        <v>331</v>
      </c>
      <c r="D107" s="223" t="s">
        <v>144</v>
      </c>
      <c r="E107" s="223" t="s">
        <v>145</v>
      </c>
      <c r="F107" s="223" t="s">
        <v>154</v>
      </c>
      <c r="G107" s="208" t="s">
        <v>7</v>
      </c>
      <c r="H107" s="209">
        <v>17</v>
      </c>
      <c r="I107" s="209">
        <v>49</v>
      </c>
      <c r="J107" s="210">
        <v>34.69</v>
      </c>
      <c r="K107" s="211" t="s">
        <v>263</v>
      </c>
      <c r="L107" s="212">
        <v>36.96</v>
      </c>
      <c r="M107" s="212">
        <v>31.18</v>
      </c>
      <c r="N107" s="213" t="s">
        <v>520</v>
      </c>
    </row>
    <row r="108" spans="1:14" ht="27.9" customHeight="1" x14ac:dyDescent="0.3">
      <c r="A108" s="260"/>
      <c r="B108" s="21" t="s">
        <v>95</v>
      </c>
      <c r="C108" s="6" t="s">
        <v>96</v>
      </c>
      <c r="D108" s="7" t="s">
        <v>144</v>
      </c>
      <c r="E108" s="7" t="s">
        <v>145</v>
      </c>
      <c r="F108" s="7" t="s">
        <v>155</v>
      </c>
      <c r="G108" s="8" t="s">
        <v>7</v>
      </c>
      <c r="H108" s="9">
        <v>5</v>
      </c>
      <c r="I108" s="9">
        <v>5</v>
      </c>
      <c r="J108" s="92">
        <v>100</v>
      </c>
      <c r="K108" s="19" t="s">
        <v>305</v>
      </c>
      <c r="L108" s="43" t="s">
        <v>265</v>
      </c>
      <c r="M108" s="43" t="s">
        <v>265</v>
      </c>
      <c r="N108" s="87" t="s">
        <v>266</v>
      </c>
    </row>
    <row r="109" spans="1:14" ht="27.9" customHeight="1" x14ac:dyDescent="0.3">
      <c r="A109" s="260"/>
      <c r="B109" s="21" t="s">
        <v>97</v>
      </c>
      <c r="C109" s="6" t="s">
        <v>98</v>
      </c>
      <c r="D109" s="7" t="s">
        <v>144</v>
      </c>
      <c r="E109" s="7" t="s">
        <v>145</v>
      </c>
      <c r="F109" s="7" t="s">
        <v>155</v>
      </c>
      <c r="G109" s="8" t="s">
        <v>7</v>
      </c>
      <c r="H109" s="9">
        <v>0</v>
      </c>
      <c r="I109" s="9">
        <v>5</v>
      </c>
      <c r="J109" s="92">
        <v>0</v>
      </c>
      <c r="K109" s="19" t="s">
        <v>305</v>
      </c>
      <c r="L109" s="43" t="s">
        <v>265</v>
      </c>
      <c r="M109" s="43" t="s">
        <v>265</v>
      </c>
      <c r="N109" s="87" t="s">
        <v>266</v>
      </c>
    </row>
    <row r="110" spans="1:14" ht="27.9" customHeight="1" x14ac:dyDescent="0.3">
      <c r="A110" s="260"/>
      <c r="B110" s="21" t="s">
        <v>99</v>
      </c>
      <c r="C110" s="6" t="s">
        <v>100</v>
      </c>
      <c r="D110" s="7" t="s">
        <v>144</v>
      </c>
      <c r="E110" s="7" t="s">
        <v>145</v>
      </c>
      <c r="F110" s="7" t="s">
        <v>155</v>
      </c>
      <c r="G110" s="8" t="s">
        <v>7</v>
      </c>
      <c r="H110" s="9">
        <v>0</v>
      </c>
      <c r="I110" s="9">
        <v>0</v>
      </c>
      <c r="J110" s="92" t="s">
        <v>499</v>
      </c>
      <c r="K110" s="19" t="s">
        <v>305</v>
      </c>
      <c r="L110" s="43" t="s">
        <v>265</v>
      </c>
      <c r="M110" s="43" t="s">
        <v>265</v>
      </c>
      <c r="N110" s="87" t="s">
        <v>266</v>
      </c>
    </row>
    <row r="111" spans="1:14" ht="27.9" customHeight="1" x14ac:dyDescent="0.3">
      <c r="A111" s="260"/>
      <c r="B111" s="21" t="s">
        <v>101</v>
      </c>
      <c r="C111" s="6" t="s">
        <v>425</v>
      </c>
      <c r="D111" s="7" t="s">
        <v>144</v>
      </c>
      <c r="E111" s="7" t="s">
        <v>145</v>
      </c>
      <c r="F111" s="7" t="s">
        <v>154</v>
      </c>
      <c r="G111" s="8" t="s">
        <v>7</v>
      </c>
      <c r="H111" s="9">
        <v>0</v>
      </c>
      <c r="I111" s="9">
        <v>32</v>
      </c>
      <c r="J111" s="92">
        <v>0</v>
      </c>
      <c r="K111" s="134" t="s">
        <v>263</v>
      </c>
      <c r="L111" s="39">
        <v>1.41</v>
      </c>
      <c r="M111" s="39">
        <v>1.33</v>
      </c>
      <c r="N111" s="87" t="s">
        <v>266</v>
      </c>
    </row>
    <row r="112" spans="1:14" ht="27.9" customHeight="1" thickBot="1" x14ac:dyDescent="0.35">
      <c r="A112" s="261"/>
      <c r="B112" s="22" t="s">
        <v>102</v>
      </c>
      <c r="C112" s="10" t="s">
        <v>103</v>
      </c>
      <c r="D112" s="11" t="s">
        <v>142</v>
      </c>
      <c r="E112" s="11" t="s">
        <v>145</v>
      </c>
      <c r="F112" s="11" t="s">
        <v>154</v>
      </c>
      <c r="G112" s="12" t="s">
        <v>7</v>
      </c>
      <c r="H112" s="13">
        <v>0</v>
      </c>
      <c r="I112" s="13">
        <v>4</v>
      </c>
      <c r="J112" s="93">
        <v>0</v>
      </c>
      <c r="K112" s="132" t="s">
        <v>491</v>
      </c>
      <c r="L112" s="44">
        <v>2.95</v>
      </c>
      <c r="M112" s="44">
        <v>2.66</v>
      </c>
      <c r="N112" s="87" t="s">
        <v>266</v>
      </c>
    </row>
    <row r="113" spans="1:14" ht="36" x14ac:dyDescent="0.3">
      <c r="A113" s="259" t="s">
        <v>157</v>
      </c>
      <c r="B113" s="20" t="s">
        <v>179</v>
      </c>
      <c r="C113" s="2" t="s">
        <v>328</v>
      </c>
      <c r="D113" s="3" t="s">
        <v>500</v>
      </c>
      <c r="E113" s="3" t="s">
        <v>132</v>
      </c>
      <c r="F113" s="3" t="s">
        <v>154</v>
      </c>
      <c r="G113" s="4" t="s">
        <v>9</v>
      </c>
      <c r="H113" s="5">
        <v>0</v>
      </c>
      <c r="I113" s="5">
        <v>412</v>
      </c>
      <c r="J113" s="95">
        <v>0</v>
      </c>
      <c r="K113" s="36" t="s">
        <v>263</v>
      </c>
      <c r="L113" s="185">
        <v>5.09</v>
      </c>
      <c r="M113" s="185">
        <v>3.82</v>
      </c>
      <c r="N113" s="91" t="s">
        <v>266</v>
      </c>
    </row>
    <row r="114" spans="1:14" ht="27.9" customHeight="1" x14ac:dyDescent="0.3">
      <c r="A114" s="260"/>
      <c r="B114" s="21" t="s">
        <v>106</v>
      </c>
      <c r="C114" s="6" t="s">
        <v>335</v>
      </c>
      <c r="D114" s="7" t="s">
        <v>500</v>
      </c>
      <c r="E114" s="7" t="s">
        <v>132</v>
      </c>
      <c r="F114" s="7" t="s">
        <v>155</v>
      </c>
      <c r="G114" s="8" t="s">
        <v>7</v>
      </c>
      <c r="H114" s="9">
        <v>412</v>
      </c>
      <c r="I114" s="9">
        <v>659</v>
      </c>
      <c r="J114" s="92">
        <v>62.52</v>
      </c>
      <c r="K114" s="19" t="s">
        <v>305</v>
      </c>
      <c r="L114" s="38" t="s">
        <v>265</v>
      </c>
      <c r="M114" s="38" t="s">
        <v>265</v>
      </c>
      <c r="N114" s="87" t="s">
        <v>266</v>
      </c>
    </row>
    <row r="115" spans="1:14" ht="36" x14ac:dyDescent="0.3">
      <c r="A115" s="260"/>
      <c r="B115" s="21" t="s">
        <v>278</v>
      </c>
      <c r="C115" s="6" t="s">
        <v>482</v>
      </c>
      <c r="D115" s="7" t="s">
        <v>500</v>
      </c>
      <c r="E115" s="7" t="s">
        <v>132</v>
      </c>
      <c r="F115" s="7" t="s">
        <v>154</v>
      </c>
      <c r="G115" s="8" t="s">
        <v>9</v>
      </c>
      <c r="H115" s="9">
        <v>0</v>
      </c>
      <c r="I115" s="9">
        <v>624</v>
      </c>
      <c r="J115" s="96">
        <v>0</v>
      </c>
      <c r="K115" s="69" t="s">
        <v>493</v>
      </c>
      <c r="L115" s="38">
        <v>5.66</v>
      </c>
      <c r="M115" s="38">
        <v>4.78</v>
      </c>
      <c r="N115" s="87" t="s">
        <v>266</v>
      </c>
    </row>
    <row r="116" spans="1:14" ht="27.9" customHeight="1" x14ac:dyDescent="0.3">
      <c r="A116" s="260"/>
      <c r="B116" s="21" t="s">
        <v>111</v>
      </c>
      <c r="C116" s="6" t="s">
        <v>344</v>
      </c>
      <c r="D116" s="7" t="s">
        <v>500</v>
      </c>
      <c r="E116" s="7" t="s">
        <v>132</v>
      </c>
      <c r="F116" s="7" t="s">
        <v>155</v>
      </c>
      <c r="G116" s="8" t="s">
        <v>7</v>
      </c>
      <c r="H116" s="9">
        <v>624</v>
      </c>
      <c r="I116" s="9">
        <v>659</v>
      </c>
      <c r="J116" s="92">
        <v>94.69</v>
      </c>
      <c r="K116" s="19" t="s">
        <v>305</v>
      </c>
      <c r="L116" s="38" t="s">
        <v>265</v>
      </c>
      <c r="M116" s="38" t="s">
        <v>265</v>
      </c>
      <c r="N116" s="87" t="s">
        <v>266</v>
      </c>
    </row>
    <row r="117" spans="1:14" ht="27.9" customHeight="1" x14ac:dyDescent="0.3">
      <c r="A117" s="260"/>
      <c r="B117" s="21" t="s">
        <v>279</v>
      </c>
      <c r="C117" s="6" t="s">
        <v>329</v>
      </c>
      <c r="D117" s="7" t="s">
        <v>500</v>
      </c>
      <c r="E117" s="7" t="s">
        <v>132</v>
      </c>
      <c r="F117" s="7" t="s">
        <v>154</v>
      </c>
      <c r="G117" s="8" t="s">
        <v>9</v>
      </c>
      <c r="H117" s="9">
        <v>0</v>
      </c>
      <c r="I117" s="9">
        <v>604</v>
      </c>
      <c r="J117" s="92">
        <v>0</v>
      </c>
      <c r="K117" s="134" t="s">
        <v>263</v>
      </c>
      <c r="L117" s="38">
        <v>0.81</v>
      </c>
      <c r="M117" s="38">
        <v>0.38</v>
      </c>
      <c r="N117" s="87" t="s">
        <v>266</v>
      </c>
    </row>
    <row r="118" spans="1:14" ht="27.9" customHeight="1" x14ac:dyDescent="0.3">
      <c r="A118" s="260"/>
      <c r="B118" s="21" t="s">
        <v>112</v>
      </c>
      <c r="C118" s="6" t="s">
        <v>113</v>
      </c>
      <c r="D118" s="7" t="s">
        <v>500</v>
      </c>
      <c r="E118" s="7" t="s">
        <v>132</v>
      </c>
      <c r="F118" s="7" t="s">
        <v>155</v>
      </c>
      <c r="G118" s="8" t="s">
        <v>7</v>
      </c>
      <c r="H118" s="9">
        <v>604</v>
      </c>
      <c r="I118" s="9">
        <v>659</v>
      </c>
      <c r="J118" s="92">
        <v>91.65</v>
      </c>
      <c r="K118" s="19" t="s">
        <v>305</v>
      </c>
      <c r="L118" s="38" t="s">
        <v>265</v>
      </c>
      <c r="M118" s="38" t="s">
        <v>265</v>
      </c>
      <c r="N118" s="87" t="s">
        <v>266</v>
      </c>
    </row>
    <row r="119" spans="1:14" ht="27.9" customHeight="1" x14ac:dyDescent="0.3">
      <c r="A119" s="260"/>
      <c r="B119" s="40" t="s">
        <v>107</v>
      </c>
      <c r="C119" s="14" t="s">
        <v>494</v>
      </c>
      <c r="D119" s="41" t="s">
        <v>146</v>
      </c>
      <c r="E119" s="41" t="s">
        <v>132</v>
      </c>
      <c r="F119" s="41" t="s">
        <v>153</v>
      </c>
      <c r="G119" s="15" t="s">
        <v>7</v>
      </c>
      <c r="H119" s="16">
        <v>15</v>
      </c>
      <c r="I119" s="16">
        <v>34</v>
      </c>
      <c r="J119" s="94">
        <v>44.12</v>
      </c>
      <c r="K119" s="133" t="s">
        <v>263</v>
      </c>
      <c r="L119" s="42">
        <v>61.37</v>
      </c>
      <c r="M119" s="42">
        <v>63.74</v>
      </c>
      <c r="N119" s="90" t="s">
        <v>484</v>
      </c>
    </row>
    <row r="120" spans="1:14" ht="38.25" customHeight="1" x14ac:dyDescent="0.3">
      <c r="A120" s="260"/>
      <c r="B120" s="21" t="s">
        <v>274</v>
      </c>
      <c r="C120" s="6" t="s">
        <v>275</v>
      </c>
      <c r="D120" s="7" t="s">
        <v>146</v>
      </c>
      <c r="E120" s="7" t="s">
        <v>132</v>
      </c>
      <c r="F120" s="7" t="s">
        <v>155</v>
      </c>
      <c r="G120" s="8" t="s">
        <v>7</v>
      </c>
      <c r="H120" s="9">
        <v>5</v>
      </c>
      <c r="I120" s="9">
        <v>34</v>
      </c>
      <c r="J120" s="92">
        <v>14.71</v>
      </c>
      <c r="K120" s="19" t="s">
        <v>305</v>
      </c>
      <c r="L120" s="39" t="s">
        <v>265</v>
      </c>
      <c r="M120" s="39" t="s">
        <v>265</v>
      </c>
      <c r="N120" s="87" t="s">
        <v>266</v>
      </c>
    </row>
    <row r="121" spans="1:14" ht="27.9" customHeight="1" x14ac:dyDescent="0.3">
      <c r="A121" s="260"/>
      <c r="B121" s="21" t="s">
        <v>276</v>
      </c>
      <c r="C121" s="6" t="s">
        <v>277</v>
      </c>
      <c r="D121" s="7" t="s">
        <v>146</v>
      </c>
      <c r="E121" s="7" t="s">
        <v>132</v>
      </c>
      <c r="F121" s="7" t="s">
        <v>155</v>
      </c>
      <c r="G121" s="8" t="s">
        <v>7</v>
      </c>
      <c r="H121" s="9">
        <v>10</v>
      </c>
      <c r="I121" s="9">
        <v>34</v>
      </c>
      <c r="J121" s="92">
        <v>29.41</v>
      </c>
      <c r="K121" s="19" t="s">
        <v>305</v>
      </c>
      <c r="L121" s="39" t="s">
        <v>265</v>
      </c>
      <c r="M121" s="39" t="s">
        <v>265</v>
      </c>
      <c r="N121" s="87" t="s">
        <v>266</v>
      </c>
    </row>
    <row r="122" spans="1:14" ht="27.9" customHeight="1" x14ac:dyDescent="0.3">
      <c r="A122" s="260"/>
      <c r="B122" s="21" t="s">
        <v>109</v>
      </c>
      <c r="C122" s="6" t="s">
        <v>110</v>
      </c>
      <c r="D122" s="7" t="s">
        <v>146</v>
      </c>
      <c r="E122" s="7" t="s">
        <v>132</v>
      </c>
      <c r="F122" s="7" t="s">
        <v>153</v>
      </c>
      <c r="G122" s="8" t="s">
        <v>7</v>
      </c>
      <c r="H122" s="9">
        <v>28</v>
      </c>
      <c r="I122" s="9">
        <v>56</v>
      </c>
      <c r="J122" s="92">
        <v>50</v>
      </c>
      <c r="K122" s="134" t="s">
        <v>263</v>
      </c>
      <c r="L122" s="38" t="s">
        <v>502</v>
      </c>
      <c r="M122" s="38" t="s">
        <v>502</v>
      </c>
      <c r="N122" s="87"/>
    </row>
    <row r="123" spans="1:14" ht="27.9" customHeight="1" x14ac:dyDescent="0.3">
      <c r="A123" s="260"/>
      <c r="B123" s="21" t="s">
        <v>280</v>
      </c>
      <c r="C123" s="6" t="s">
        <v>281</v>
      </c>
      <c r="D123" s="7" t="s">
        <v>146</v>
      </c>
      <c r="E123" s="7" t="s">
        <v>132</v>
      </c>
      <c r="F123" s="7" t="s">
        <v>154</v>
      </c>
      <c r="G123" s="8" t="s">
        <v>9</v>
      </c>
      <c r="H123" s="9">
        <v>0</v>
      </c>
      <c r="I123" s="9">
        <v>412</v>
      </c>
      <c r="J123" s="92">
        <v>0</v>
      </c>
      <c r="K123" s="134" t="s">
        <v>263</v>
      </c>
      <c r="L123" s="38">
        <v>0</v>
      </c>
      <c r="M123" s="38">
        <v>0.08</v>
      </c>
      <c r="N123" s="87" t="s">
        <v>266</v>
      </c>
    </row>
    <row r="124" spans="1:14" ht="27.9" customHeight="1" x14ac:dyDescent="0.3">
      <c r="A124" s="262"/>
      <c r="B124" s="114" t="s">
        <v>282</v>
      </c>
      <c r="C124" s="115" t="s">
        <v>495</v>
      </c>
      <c r="D124" s="116" t="s">
        <v>146</v>
      </c>
      <c r="E124" s="116" t="s">
        <v>132</v>
      </c>
      <c r="F124" s="116" t="s">
        <v>154</v>
      </c>
      <c r="G124" s="117" t="s">
        <v>9</v>
      </c>
      <c r="H124" s="118">
        <v>0</v>
      </c>
      <c r="I124" s="118">
        <v>299</v>
      </c>
      <c r="J124" s="119">
        <v>0</v>
      </c>
      <c r="K124" s="134" t="s">
        <v>263</v>
      </c>
      <c r="L124" s="124">
        <v>0.7</v>
      </c>
      <c r="M124" s="124">
        <v>0.46</v>
      </c>
      <c r="N124" s="121" t="s">
        <v>266</v>
      </c>
    </row>
    <row r="125" spans="1:14" ht="27.9" customHeight="1" thickBot="1" x14ac:dyDescent="0.35">
      <c r="A125" s="261"/>
      <c r="B125" s="224" t="s">
        <v>473</v>
      </c>
      <c r="C125" s="225" t="s">
        <v>474</v>
      </c>
      <c r="D125" s="226" t="s">
        <v>146</v>
      </c>
      <c r="E125" s="226" t="s">
        <v>132</v>
      </c>
      <c r="F125" s="226" t="s">
        <v>154</v>
      </c>
      <c r="G125" s="227" t="s">
        <v>480</v>
      </c>
      <c r="H125" s="228">
        <v>665</v>
      </c>
      <c r="I125" s="228">
        <v>34</v>
      </c>
      <c r="J125" s="229">
        <v>19.559999999999999</v>
      </c>
      <c r="K125" s="230" t="s">
        <v>481</v>
      </c>
      <c r="L125" s="231">
        <v>20.38</v>
      </c>
      <c r="M125" s="231">
        <v>19.03</v>
      </c>
      <c r="N125" s="232" t="s">
        <v>520</v>
      </c>
    </row>
    <row r="126" spans="1:14" x14ac:dyDescent="0.3">
      <c r="A126" s="265" t="s">
        <v>152</v>
      </c>
      <c r="B126" s="180" t="s">
        <v>444</v>
      </c>
      <c r="C126" s="2" t="s">
        <v>445</v>
      </c>
      <c r="D126" s="3" t="s">
        <v>131</v>
      </c>
      <c r="E126" s="3" t="s">
        <v>132</v>
      </c>
      <c r="F126" s="3" t="s">
        <v>153</v>
      </c>
      <c r="G126" s="4" t="s">
        <v>7</v>
      </c>
      <c r="H126" s="5">
        <v>27</v>
      </c>
      <c r="I126" s="5">
        <v>28</v>
      </c>
      <c r="J126" s="95">
        <v>96.43</v>
      </c>
      <c r="K126" s="36" t="s">
        <v>488</v>
      </c>
      <c r="L126" s="45">
        <v>88.77</v>
      </c>
      <c r="M126" s="45">
        <v>91.64</v>
      </c>
      <c r="N126" s="91" t="s">
        <v>266</v>
      </c>
    </row>
    <row r="127" spans="1:14" ht="36" x14ac:dyDescent="0.3">
      <c r="A127" s="266"/>
      <c r="B127" s="233" t="s">
        <v>6</v>
      </c>
      <c r="C127" s="234" t="s">
        <v>443</v>
      </c>
      <c r="D127" s="235" t="s">
        <v>131</v>
      </c>
      <c r="E127" s="235" t="s">
        <v>132</v>
      </c>
      <c r="F127" s="235" t="s">
        <v>153</v>
      </c>
      <c r="G127" s="236" t="s">
        <v>7</v>
      </c>
      <c r="H127" s="237">
        <v>10</v>
      </c>
      <c r="I127" s="237">
        <v>11</v>
      </c>
      <c r="J127" s="238">
        <v>90.91</v>
      </c>
      <c r="K127" s="239" t="s">
        <v>485</v>
      </c>
      <c r="L127" s="240">
        <v>89.13</v>
      </c>
      <c r="M127" s="240">
        <v>93.34</v>
      </c>
      <c r="N127" s="241" t="s">
        <v>521</v>
      </c>
    </row>
    <row r="128" spans="1:14" ht="36" x14ac:dyDescent="0.3">
      <c r="A128" s="266"/>
      <c r="B128" s="113" t="s">
        <v>446</v>
      </c>
      <c r="C128" s="107" t="s">
        <v>447</v>
      </c>
      <c r="D128" s="108" t="s">
        <v>131</v>
      </c>
      <c r="E128" s="108" t="s">
        <v>132</v>
      </c>
      <c r="F128" s="108" t="s">
        <v>153</v>
      </c>
      <c r="G128" s="109" t="s">
        <v>7</v>
      </c>
      <c r="H128" s="106">
        <v>29</v>
      </c>
      <c r="I128" s="106">
        <v>29</v>
      </c>
      <c r="J128" s="96">
        <v>100</v>
      </c>
      <c r="K128" s="137" t="s">
        <v>488</v>
      </c>
      <c r="L128" s="110">
        <v>100</v>
      </c>
      <c r="M128" s="110">
        <v>99.54</v>
      </c>
      <c r="N128" s="111" t="s">
        <v>266</v>
      </c>
    </row>
    <row r="129" spans="1:14" ht="27.9" customHeight="1" x14ac:dyDescent="0.3">
      <c r="A129" s="266"/>
      <c r="B129" s="169" t="s">
        <v>8</v>
      </c>
      <c r="C129" s="14" t="s">
        <v>486</v>
      </c>
      <c r="D129" s="41" t="s">
        <v>131</v>
      </c>
      <c r="E129" s="41" t="s">
        <v>132</v>
      </c>
      <c r="F129" s="41" t="s">
        <v>154</v>
      </c>
      <c r="G129" s="15" t="s">
        <v>7</v>
      </c>
      <c r="H129" s="16">
        <v>7</v>
      </c>
      <c r="I129" s="16">
        <v>36</v>
      </c>
      <c r="J129" s="94">
        <v>19.440000000000001</v>
      </c>
      <c r="K129" s="133" t="s">
        <v>525</v>
      </c>
      <c r="L129" s="42">
        <v>7.82</v>
      </c>
      <c r="M129" s="42">
        <v>5.39</v>
      </c>
      <c r="N129" s="149" t="s">
        <v>440</v>
      </c>
    </row>
    <row r="130" spans="1:14" ht="27.9" customHeight="1" x14ac:dyDescent="0.3">
      <c r="A130" s="246"/>
      <c r="B130" s="169" t="s">
        <v>307</v>
      </c>
      <c r="C130" s="14" t="s">
        <v>448</v>
      </c>
      <c r="D130" s="41" t="s">
        <v>131</v>
      </c>
      <c r="E130" s="41" t="s">
        <v>132</v>
      </c>
      <c r="F130" s="41" t="s">
        <v>153</v>
      </c>
      <c r="G130" s="15" t="s">
        <v>7</v>
      </c>
      <c r="H130" s="16">
        <v>26</v>
      </c>
      <c r="I130" s="16">
        <v>28</v>
      </c>
      <c r="J130" s="94">
        <v>92.86</v>
      </c>
      <c r="K130" s="133" t="s">
        <v>488</v>
      </c>
      <c r="L130" s="42">
        <v>97.55</v>
      </c>
      <c r="M130" s="42">
        <v>98.16</v>
      </c>
      <c r="N130" s="149" t="s">
        <v>484</v>
      </c>
    </row>
    <row r="131" spans="1:14" ht="27.9" customHeight="1" x14ac:dyDescent="0.3">
      <c r="A131" s="246"/>
      <c r="B131" s="113" t="s">
        <v>449</v>
      </c>
      <c r="C131" s="6" t="s">
        <v>450</v>
      </c>
      <c r="D131" s="7" t="s">
        <v>131</v>
      </c>
      <c r="E131" s="7" t="s">
        <v>132</v>
      </c>
      <c r="F131" s="7" t="s">
        <v>153</v>
      </c>
      <c r="G131" s="8" t="s">
        <v>7</v>
      </c>
      <c r="H131" s="9">
        <v>25</v>
      </c>
      <c r="I131" s="9">
        <v>25</v>
      </c>
      <c r="J131" s="92">
        <v>100</v>
      </c>
      <c r="K131" s="134" t="s">
        <v>488</v>
      </c>
      <c r="L131" s="39">
        <v>90.65</v>
      </c>
      <c r="M131" s="39">
        <v>83.7</v>
      </c>
      <c r="N131" s="111" t="s">
        <v>266</v>
      </c>
    </row>
    <row r="132" spans="1:14" ht="36" x14ac:dyDescent="0.3">
      <c r="A132" s="246"/>
      <c r="B132" s="113" t="s">
        <v>451</v>
      </c>
      <c r="C132" s="6" t="s">
        <v>452</v>
      </c>
      <c r="D132" s="7" t="s">
        <v>131</v>
      </c>
      <c r="E132" s="7" t="s">
        <v>132</v>
      </c>
      <c r="F132" s="7" t="s">
        <v>153</v>
      </c>
      <c r="G132" s="8" t="s">
        <v>7</v>
      </c>
      <c r="H132" s="9">
        <v>16</v>
      </c>
      <c r="I132" s="9">
        <v>16</v>
      </c>
      <c r="J132" s="92">
        <v>100</v>
      </c>
      <c r="K132" s="134" t="s">
        <v>488</v>
      </c>
      <c r="L132" s="39">
        <v>100</v>
      </c>
      <c r="M132" s="39">
        <v>100</v>
      </c>
      <c r="N132" s="111" t="s">
        <v>266</v>
      </c>
    </row>
    <row r="133" spans="1:14" ht="27.9" customHeight="1" thickBot="1" x14ac:dyDescent="0.35">
      <c r="A133" s="267"/>
      <c r="B133" s="196" t="s">
        <v>453</v>
      </c>
      <c r="C133" s="197" t="s">
        <v>454</v>
      </c>
      <c r="D133" s="198" t="s">
        <v>131</v>
      </c>
      <c r="E133" s="198" t="s">
        <v>132</v>
      </c>
      <c r="F133" s="198" t="s">
        <v>153</v>
      </c>
      <c r="G133" s="199" t="s">
        <v>7</v>
      </c>
      <c r="H133" s="200">
        <v>26</v>
      </c>
      <c r="I133" s="200">
        <v>29</v>
      </c>
      <c r="J133" s="201">
        <v>89.66</v>
      </c>
      <c r="K133" s="202" t="s">
        <v>488</v>
      </c>
      <c r="L133" s="203">
        <v>98.18</v>
      </c>
      <c r="M133" s="203">
        <v>97.13</v>
      </c>
      <c r="N133" s="204" t="s">
        <v>484</v>
      </c>
    </row>
    <row r="134" spans="1:14" ht="39.9" customHeight="1" x14ac:dyDescent="0.3">
      <c r="A134" s="245" t="s">
        <v>507</v>
      </c>
      <c r="B134" s="180" t="s">
        <v>508</v>
      </c>
      <c r="C134" s="2" t="s">
        <v>509</v>
      </c>
      <c r="D134" s="3" t="s">
        <v>151</v>
      </c>
      <c r="E134" s="3" t="s">
        <v>132</v>
      </c>
      <c r="F134" s="3" t="s">
        <v>153</v>
      </c>
      <c r="G134" s="4" t="s">
        <v>7</v>
      </c>
      <c r="H134" s="5">
        <v>4</v>
      </c>
      <c r="I134" s="5">
        <v>5</v>
      </c>
      <c r="J134" s="95">
        <v>80</v>
      </c>
      <c r="K134" s="36" t="s">
        <v>263</v>
      </c>
      <c r="L134" s="45">
        <v>60.71</v>
      </c>
      <c r="M134" s="45">
        <v>73.64</v>
      </c>
      <c r="N134" s="91" t="s">
        <v>266</v>
      </c>
    </row>
    <row r="135" spans="1:14" ht="39.9" customHeight="1" x14ac:dyDescent="0.3">
      <c r="A135" s="246"/>
      <c r="B135" s="181" t="s">
        <v>128</v>
      </c>
      <c r="C135" s="115" t="s">
        <v>510</v>
      </c>
      <c r="D135" s="116" t="s">
        <v>151</v>
      </c>
      <c r="E135" s="116" t="s">
        <v>132</v>
      </c>
      <c r="F135" s="116" t="s">
        <v>154</v>
      </c>
      <c r="G135" s="117" t="s">
        <v>7</v>
      </c>
      <c r="H135" s="118">
        <v>0</v>
      </c>
      <c r="I135" s="118">
        <v>5</v>
      </c>
      <c r="J135" s="119">
        <v>0</v>
      </c>
      <c r="K135" s="135" t="s">
        <v>263</v>
      </c>
      <c r="L135" s="120">
        <v>3.13</v>
      </c>
      <c r="M135" s="120">
        <v>2.57</v>
      </c>
      <c r="N135" s="121" t="s">
        <v>266</v>
      </c>
    </row>
    <row r="136" spans="1:14" ht="39.9" customHeight="1" x14ac:dyDescent="0.3">
      <c r="A136" s="246"/>
      <c r="B136" s="181" t="s">
        <v>455</v>
      </c>
      <c r="C136" s="115" t="s">
        <v>511</v>
      </c>
      <c r="D136" s="116" t="s">
        <v>151</v>
      </c>
      <c r="E136" s="116" t="s">
        <v>132</v>
      </c>
      <c r="F136" s="116" t="s">
        <v>153</v>
      </c>
      <c r="G136" s="117" t="s">
        <v>7</v>
      </c>
      <c r="H136" s="118">
        <v>15</v>
      </c>
      <c r="I136" s="118">
        <v>15</v>
      </c>
      <c r="J136" s="119">
        <v>100</v>
      </c>
      <c r="K136" s="135" t="s">
        <v>263</v>
      </c>
      <c r="L136" s="120">
        <v>98.95</v>
      </c>
      <c r="M136" s="120">
        <v>98.24</v>
      </c>
      <c r="N136" s="121" t="s">
        <v>266</v>
      </c>
    </row>
    <row r="137" spans="1:14" ht="39.9" customHeight="1" x14ac:dyDescent="0.3">
      <c r="A137" s="246"/>
      <c r="B137" s="181" t="s">
        <v>456</v>
      </c>
      <c r="C137" s="115" t="s">
        <v>512</v>
      </c>
      <c r="D137" s="116" t="s">
        <v>151</v>
      </c>
      <c r="E137" s="116" t="s">
        <v>132</v>
      </c>
      <c r="F137" s="116" t="s">
        <v>153</v>
      </c>
      <c r="G137" s="117" t="s">
        <v>7</v>
      </c>
      <c r="H137" s="118">
        <v>28</v>
      </c>
      <c r="I137" s="118">
        <v>28</v>
      </c>
      <c r="J137" s="119">
        <v>100</v>
      </c>
      <c r="K137" s="135" t="s">
        <v>263</v>
      </c>
      <c r="L137" s="120">
        <v>97.63</v>
      </c>
      <c r="M137" s="120">
        <v>98.02</v>
      </c>
      <c r="N137" s="121" t="s">
        <v>266</v>
      </c>
    </row>
    <row r="138" spans="1:14" ht="39.9" customHeight="1" x14ac:dyDescent="0.3">
      <c r="A138" s="246"/>
      <c r="B138" s="181" t="s">
        <v>457</v>
      </c>
      <c r="C138" s="115" t="s">
        <v>458</v>
      </c>
      <c r="D138" s="116" t="s">
        <v>151</v>
      </c>
      <c r="E138" s="116" t="s">
        <v>132</v>
      </c>
      <c r="F138" s="116" t="s">
        <v>153</v>
      </c>
      <c r="G138" s="117" t="s">
        <v>7</v>
      </c>
      <c r="H138" s="118">
        <v>62</v>
      </c>
      <c r="I138" s="118">
        <v>63</v>
      </c>
      <c r="J138" s="119">
        <v>98.41</v>
      </c>
      <c r="K138" s="135" t="s">
        <v>263</v>
      </c>
      <c r="L138" s="120">
        <v>96.74</v>
      </c>
      <c r="M138" s="120">
        <v>97.17</v>
      </c>
      <c r="N138" s="121" t="s">
        <v>266</v>
      </c>
    </row>
    <row r="139" spans="1:14" ht="39.9" customHeight="1" x14ac:dyDescent="0.3">
      <c r="A139" s="246"/>
      <c r="B139" s="181" t="s">
        <v>513</v>
      </c>
      <c r="C139" s="115" t="s">
        <v>514</v>
      </c>
      <c r="D139" s="116" t="s">
        <v>151</v>
      </c>
      <c r="E139" s="116" t="s">
        <v>132</v>
      </c>
      <c r="F139" s="116" t="s">
        <v>153</v>
      </c>
      <c r="G139" s="117" t="s">
        <v>7</v>
      </c>
      <c r="H139" s="118">
        <v>3</v>
      </c>
      <c r="I139" s="118">
        <v>3</v>
      </c>
      <c r="J139" s="119">
        <v>100</v>
      </c>
      <c r="K139" s="184" t="s">
        <v>519</v>
      </c>
      <c r="L139" s="124" t="s">
        <v>519</v>
      </c>
      <c r="M139" s="124" t="s">
        <v>519</v>
      </c>
      <c r="N139" s="121"/>
    </row>
    <row r="140" spans="1:14" ht="72" x14ac:dyDescent="0.3">
      <c r="A140" s="246"/>
      <c r="B140" s="122" t="s">
        <v>459</v>
      </c>
      <c r="C140" s="6" t="s">
        <v>515</v>
      </c>
      <c r="D140" s="116" t="s">
        <v>151</v>
      </c>
      <c r="E140" s="116" t="s">
        <v>132</v>
      </c>
      <c r="F140" s="116" t="s">
        <v>153</v>
      </c>
      <c r="G140" s="117" t="s">
        <v>7</v>
      </c>
      <c r="H140" s="118">
        <v>2</v>
      </c>
      <c r="I140" s="118">
        <v>57</v>
      </c>
      <c r="J140" s="119">
        <v>3.51</v>
      </c>
      <c r="K140" s="135" t="s">
        <v>263</v>
      </c>
      <c r="L140" s="124" t="s">
        <v>505</v>
      </c>
      <c r="M140" s="124" t="s">
        <v>506</v>
      </c>
      <c r="N140" s="121"/>
    </row>
    <row r="141" spans="1:14" ht="40.5" customHeight="1" x14ac:dyDescent="0.3">
      <c r="A141" s="246"/>
      <c r="B141" s="122" t="s">
        <v>460</v>
      </c>
      <c r="C141" s="6" t="s">
        <v>516</v>
      </c>
      <c r="D141" s="7" t="s">
        <v>151</v>
      </c>
      <c r="E141" s="7" t="s">
        <v>132</v>
      </c>
      <c r="F141" s="7" t="s">
        <v>154</v>
      </c>
      <c r="G141" s="8" t="s">
        <v>7</v>
      </c>
      <c r="H141" s="9">
        <v>1</v>
      </c>
      <c r="I141" s="9">
        <v>66</v>
      </c>
      <c r="J141" s="92">
        <v>1.52</v>
      </c>
      <c r="K141" s="134" t="s">
        <v>263</v>
      </c>
      <c r="L141" s="38">
        <v>5.37</v>
      </c>
      <c r="M141" s="38">
        <v>4.72</v>
      </c>
      <c r="N141" s="121" t="s">
        <v>266</v>
      </c>
    </row>
    <row r="142" spans="1:14" ht="39.9" customHeight="1" thickBot="1" x14ac:dyDescent="0.35">
      <c r="A142" s="247"/>
      <c r="B142" s="182" t="s">
        <v>517</v>
      </c>
      <c r="C142" s="183" t="s">
        <v>518</v>
      </c>
      <c r="D142" s="179" t="s">
        <v>151</v>
      </c>
      <c r="E142" s="173" t="s">
        <v>132</v>
      </c>
      <c r="F142" s="173" t="s">
        <v>153</v>
      </c>
      <c r="G142" s="174" t="s">
        <v>7</v>
      </c>
      <c r="H142" s="175">
        <v>5</v>
      </c>
      <c r="I142" s="175">
        <v>5</v>
      </c>
      <c r="J142" s="176">
        <v>100</v>
      </c>
      <c r="K142" s="177" t="s">
        <v>265</v>
      </c>
      <c r="L142" s="178" t="s">
        <v>265</v>
      </c>
      <c r="M142" s="178" t="s">
        <v>265</v>
      </c>
      <c r="N142" s="89"/>
    </row>
  </sheetData>
  <sheetProtection autoFilter="0"/>
  <autoFilter ref="A4:N142"/>
  <mergeCells count="28">
    <mergeCell ref="L3:L4"/>
    <mergeCell ref="A48:A52"/>
    <mergeCell ref="A8:A11"/>
    <mergeCell ref="A126:A133"/>
    <mergeCell ref="A12:A18"/>
    <mergeCell ref="A84:A105"/>
    <mergeCell ref="A106:A112"/>
    <mergeCell ref="A113:A125"/>
    <mergeCell ref="A40:A47"/>
    <mergeCell ref="A19:A25"/>
    <mergeCell ref="A53:A83"/>
    <mergeCell ref="A33:A39"/>
    <mergeCell ref="A134:A142"/>
    <mergeCell ref="A2:N2"/>
    <mergeCell ref="A1:N1"/>
    <mergeCell ref="N3:N4"/>
    <mergeCell ref="D3:D4"/>
    <mergeCell ref="E3:E4"/>
    <mergeCell ref="F3:F4"/>
    <mergeCell ref="B3:B4"/>
    <mergeCell ref="C3:C4"/>
    <mergeCell ref="G3:G4"/>
    <mergeCell ref="H3:J3"/>
    <mergeCell ref="K3:K4"/>
    <mergeCell ref="M3:M4"/>
    <mergeCell ref="A5:A7"/>
    <mergeCell ref="A26:A32"/>
    <mergeCell ref="A3:A4"/>
  </mergeCells>
  <phoneticPr fontId="1" type="noConversion"/>
  <printOptions horizontalCentered="1"/>
  <pageMargins left="0.51181102362204722" right="0.51181102362204722" top="0.59055118110236227" bottom="0.47244094488188981" header="0.31496062992125984" footer="0.19685039370078741"/>
  <pageSetup paperSize="9" scale="63" fitToHeight="22" orientation="landscape" r:id="rId1"/>
  <headerFooter>
    <oddFooter>第 &amp;P 頁，共 &amp;N 頁</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pageSetUpPr fitToPage="1"/>
  </sheetPr>
  <dimension ref="A1:N22"/>
  <sheetViews>
    <sheetView workbookViewId="0">
      <pane xSplit="1" ySplit="4" topLeftCell="B5" activePane="bottomRight" state="frozen"/>
      <selection activeCell="A2" sqref="A2:A6"/>
      <selection pane="topRight" activeCell="A2" sqref="A2:A6"/>
      <selection pane="bottomLeft" activeCell="A2" sqref="A2:A6"/>
      <selection pane="bottomRight" sqref="A1:N1"/>
    </sheetView>
  </sheetViews>
  <sheetFormatPr defaultColWidth="9" defaultRowHeight="18" x14ac:dyDescent="0.3"/>
  <cols>
    <col min="1" max="1" width="11.88671875" style="63" customWidth="1"/>
    <col min="2" max="2" width="19.6640625" style="63" bestFit="1" customWidth="1"/>
    <col min="3" max="3" width="40.33203125" style="63" bestFit="1" customWidth="1"/>
    <col min="4" max="4" width="15.33203125" style="63" customWidth="1"/>
    <col min="5" max="5" width="16.21875" style="63" customWidth="1"/>
    <col min="6" max="6" width="11.33203125" style="63" bestFit="1" customWidth="1"/>
    <col min="7" max="7" width="9" style="63"/>
    <col min="8" max="10" width="12.109375" style="63" customWidth="1"/>
    <col min="11" max="11" width="11.33203125" style="81" customWidth="1"/>
    <col min="12" max="13" width="11.33203125" style="82" customWidth="1"/>
    <col min="14" max="16384" width="9" style="63"/>
  </cols>
  <sheetData>
    <row r="1" spans="1:14" s="1" customFormat="1" ht="24.9" customHeight="1" x14ac:dyDescent="0.3">
      <c r="A1" s="250" t="s">
        <v>531</v>
      </c>
      <c r="B1" s="250"/>
      <c r="C1" s="250"/>
      <c r="D1" s="250"/>
      <c r="E1" s="250"/>
      <c r="F1" s="250"/>
      <c r="G1" s="250"/>
      <c r="H1" s="250"/>
      <c r="I1" s="250"/>
      <c r="J1" s="250"/>
      <c r="K1" s="250"/>
      <c r="L1" s="250"/>
      <c r="M1" s="250"/>
      <c r="N1" s="250"/>
    </row>
    <row r="2" spans="1:14" s="1" customFormat="1" ht="71.25" customHeight="1" thickBot="1" x14ac:dyDescent="0.35">
      <c r="A2" s="248" t="s">
        <v>529</v>
      </c>
      <c r="B2" s="249"/>
      <c r="C2" s="249"/>
      <c r="D2" s="249"/>
      <c r="E2" s="249"/>
      <c r="F2" s="249"/>
      <c r="G2" s="249"/>
      <c r="H2" s="249"/>
      <c r="I2" s="249"/>
      <c r="J2" s="249"/>
      <c r="K2" s="249"/>
      <c r="L2" s="249"/>
      <c r="M2" s="249"/>
      <c r="N2" s="249"/>
    </row>
    <row r="3" spans="1:14" ht="24" customHeight="1" x14ac:dyDescent="0.3">
      <c r="A3" s="273" t="s">
        <v>159</v>
      </c>
      <c r="B3" s="255" t="s">
        <v>420</v>
      </c>
      <c r="C3" s="255" t="s">
        <v>1</v>
      </c>
      <c r="D3" s="255" t="s">
        <v>363</v>
      </c>
      <c r="E3" s="255" t="s">
        <v>364</v>
      </c>
      <c r="F3" s="255" t="s">
        <v>365</v>
      </c>
      <c r="G3" s="255" t="s">
        <v>2</v>
      </c>
      <c r="H3" s="276" t="s">
        <v>534</v>
      </c>
      <c r="I3" s="277"/>
      <c r="J3" s="278"/>
      <c r="K3" s="255" t="s">
        <v>366</v>
      </c>
      <c r="L3" s="257" t="s">
        <v>437</v>
      </c>
      <c r="M3" s="257" t="s">
        <v>438</v>
      </c>
      <c r="N3" s="251" t="s">
        <v>439</v>
      </c>
    </row>
    <row r="4" spans="1:14" ht="25.5" customHeight="1" thickBot="1" x14ac:dyDescent="0.35">
      <c r="A4" s="274"/>
      <c r="B4" s="275"/>
      <c r="C4" s="275"/>
      <c r="D4" s="275"/>
      <c r="E4" s="275"/>
      <c r="F4" s="275"/>
      <c r="G4" s="275"/>
      <c r="H4" s="86" t="s">
        <v>3</v>
      </c>
      <c r="I4" s="86" t="s">
        <v>4</v>
      </c>
      <c r="J4" s="86" t="s">
        <v>5</v>
      </c>
      <c r="K4" s="275"/>
      <c r="L4" s="258"/>
      <c r="M4" s="258"/>
      <c r="N4" s="252"/>
    </row>
    <row r="5" spans="1:14" ht="24.9" customHeight="1" x14ac:dyDescent="0.3">
      <c r="A5" s="270" t="s">
        <v>367</v>
      </c>
      <c r="B5" s="2" t="s">
        <v>368</v>
      </c>
      <c r="C5" s="2" t="s">
        <v>369</v>
      </c>
      <c r="D5" s="4" t="s">
        <v>370</v>
      </c>
      <c r="E5" s="4" t="s">
        <v>370</v>
      </c>
      <c r="F5" s="2" t="s">
        <v>371</v>
      </c>
      <c r="G5" s="4" t="s">
        <v>7</v>
      </c>
      <c r="H5" s="5">
        <v>2</v>
      </c>
      <c r="I5" s="5">
        <v>3606</v>
      </c>
      <c r="J5" s="112">
        <v>0.06</v>
      </c>
      <c r="K5" s="36" t="s">
        <v>263</v>
      </c>
      <c r="L5" s="165">
        <v>0.1</v>
      </c>
      <c r="M5" s="165">
        <v>7.0000000000000007E-2</v>
      </c>
      <c r="N5" s="166" t="s">
        <v>266</v>
      </c>
    </row>
    <row r="6" spans="1:14" ht="24.9" customHeight="1" x14ac:dyDescent="0.3">
      <c r="A6" s="271"/>
      <c r="B6" s="6" t="s">
        <v>372</v>
      </c>
      <c r="C6" s="6" t="s">
        <v>373</v>
      </c>
      <c r="D6" s="8" t="s">
        <v>370</v>
      </c>
      <c r="E6" s="8" t="s">
        <v>370</v>
      </c>
      <c r="F6" s="6" t="s">
        <v>374</v>
      </c>
      <c r="G6" s="8" t="s">
        <v>7</v>
      </c>
      <c r="H6" s="9">
        <v>1</v>
      </c>
      <c r="I6" s="9">
        <v>2</v>
      </c>
      <c r="J6" s="92">
        <v>50</v>
      </c>
      <c r="K6" s="6" t="s">
        <v>374</v>
      </c>
      <c r="L6" s="140" t="s">
        <v>265</v>
      </c>
      <c r="M6" s="140" t="s">
        <v>265</v>
      </c>
      <c r="N6" s="68" t="s">
        <v>266</v>
      </c>
    </row>
    <row r="7" spans="1:14" ht="24.9" customHeight="1" x14ac:dyDescent="0.3">
      <c r="A7" s="271"/>
      <c r="B7" s="6" t="s">
        <v>375</v>
      </c>
      <c r="C7" s="6" t="s">
        <v>376</v>
      </c>
      <c r="D7" s="8" t="s">
        <v>370</v>
      </c>
      <c r="E7" s="8" t="s">
        <v>370</v>
      </c>
      <c r="F7" s="6" t="s">
        <v>374</v>
      </c>
      <c r="G7" s="8" t="s">
        <v>7</v>
      </c>
      <c r="H7" s="9">
        <v>0</v>
      </c>
      <c r="I7" s="9">
        <v>2</v>
      </c>
      <c r="J7" s="92">
        <v>0</v>
      </c>
      <c r="K7" s="6" t="s">
        <v>374</v>
      </c>
      <c r="L7" s="140" t="s">
        <v>265</v>
      </c>
      <c r="M7" s="140" t="s">
        <v>265</v>
      </c>
      <c r="N7" s="68" t="s">
        <v>266</v>
      </c>
    </row>
    <row r="8" spans="1:14" ht="24.9" customHeight="1" x14ac:dyDescent="0.3">
      <c r="A8" s="271"/>
      <c r="B8" s="6" t="s">
        <v>377</v>
      </c>
      <c r="C8" s="6" t="s">
        <v>378</v>
      </c>
      <c r="D8" s="8" t="s">
        <v>370</v>
      </c>
      <c r="E8" s="8" t="s">
        <v>370</v>
      </c>
      <c r="F8" s="6" t="s">
        <v>374</v>
      </c>
      <c r="G8" s="8" t="s">
        <v>7</v>
      </c>
      <c r="H8" s="9">
        <v>0</v>
      </c>
      <c r="I8" s="9">
        <v>2</v>
      </c>
      <c r="J8" s="92">
        <v>0</v>
      </c>
      <c r="K8" s="6" t="s">
        <v>374</v>
      </c>
      <c r="L8" s="140" t="s">
        <v>265</v>
      </c>
      <c r="M8" s="140" t="s">
        <v>265</v>
      </c>
      <c r="N8" s="68" t="s">
        <v>266</v>
      </c>
    </row>
    <row r="9" spans="1:14" ht="24.9" customHeight="1" x14ac:dyDescent="0.3">
      <c r="A9" s="271"/>
      <c r="B9" s="6" t="s">
        <v>379</v>
      </c>
      <c r="C9" s="6" t="s">
        <v>380</v>
      </c>
      <c r="D9" s="8" t="s">
        <v>370</v>
      </c>
      <c r="E9" s="8" t="s">
        <v>370</v>
      </c>
      <c r="F9" s="6" t="s">
        <v>374</v>
      </c>
      <c r="G9" s="8" t="s">
        <v>7</v>
      </c>
      <c r="H9" s="9">
        <v>1</v>
      </c>
      <c r="I9" s="9">
        <v>2</v>
      </c>
      <c r="J9" s="92">
        <v>50</v>
      </c>
      <c r="K9" s="6" t="s">
        <v>374</v>
      </c>
      <c r="L9" s="140" t="s">
        <v>265</v>
      </c>
      <c r="M9" s="140" t="s">
        <v>265</v>
      </c>
      <c r="N9" s="68" t="s">
        <v>266</v>
      </c>
    </row>
    <row r="10" spans="1:14" ht="24.9" customHeight="1" x14ac:dyDescent="0.3">
      <c r="A10" s="271"/>
      <c r="B10" s="6" t="s">
        <v>381</v>
      </c>
      <c r="C10" s="6" t="s">
        <v>382</v>
      </c>
      <c r="D10" s="8" t="s">
        <v>370</v>
      </c>
      <c r="E10" s="8" t="s">
        <v>370</v>
      </c>
      <c r="F10" s="6" t="s">
        <v>371</v>
      </c>
      <c r="G10" s="8" t="s">
        <v>7</v>
      </c>
      <c r="H10" s="9">
        <v>1</v>
      </c>
      <c r="I10" s="9">
        <v>2</v>
      </c>
      <c r="J10" s="92">
        <v>50</v>
      </c>
      <c r="K10" s="26" t="s">
        <v>263</v>
      </c>
      <c r="L10" s="140">
        <v>75</v>
      </c>
      <c r="M10" s="140">
        <v>51.9</v>
      </c>
      <c r="N10" s="126" t="s">
        <v>266</v>
      </c>
    </row>
    <row r="11" spans="1:14" ht="24.9" customHeight="1" x14ac:dyDescent="0.3">
      <c r="A11" s="271"/>
      <c r="B11" s="6" t="s">
        <v>383</v>
      </c>
      <c r="C11" s="6" t="s">
        <v>384</v>
      </c>
      <c r="D11" s="8" t="s">
        <v>370</v>
      </c>
      <c r="E11" s="8" t="s">
        <v>370</v>
      </c>
      <c r="F11" s="6" t="s">
        <v>374</v>
      </c>
      <c r="G11" s="8" t="s">
        <v>7</v>
      </c>
      <c r="H11" s="9">
        <v>0</v>
      </c>
      <c r="I11" s="9">
        <v>1</v>
      </c>
      <c r="J11" s="92">
        <v>0</v>
      </c>
      <c r="K11" s="6" t="s">
        <v>374</v>
      </c>
      <c r="L11" s="140" t="s">
        <v>265</v>
      </c>
      <c r="M11" s="140" t="s">
        <v>265</v>
      </c>
      <c r="N11" s="68" t="s">
        <v>266</v>
      </c>
    </row>
    <row r="12" spans="1:14" ht="24.9" customHeight="1" x14ac:dyDescent="0.3">
      <c r="A12" s="271"/>
      <c r="B12" s="6" t="s">
        <v>385</v>
      </c>
      <c r="C12" s="6" t="s">
        <v>386</v>
      </c>
      <c r="D12" s="8" t="s">
        <v>370</v>
      </c>
      <c r="E12" s="8" t="s">
        <v>370</v>
      </c>
      <c r="F12" s="6" t="s">
        <v>374</v>
      </c>
      <c r="G12" s="8" t="s">
        <v>7</v>
      </c>
      <c r="H12" s="9">
        <v>1</v>
      </c>
      <c r="I12" s="9">
        <v>1</v>
      </c>
      <c r="J12" s="92">
        <v>100</v>
      </c>
      <c r="K12" s="64" t="s">
        <v>374</v>
      </c>
      <c r="L12" s="140" t="s">
        <v>265</v>
      </c>
      <c r="M12" s="140" t="s">
        <v>265</v>
      </c>
      <c r="N12" s="68" t="s">
        <v>266</v>
      </c>
    </row>
    <row r="13" spans="1:14" ht="24.9" customHeight="1" x14ac:dyDescent="0.3">
      <c r="A13" s="271"/>
      <c r="B13" s="6" t="s">
        <v>387</v>
      </c>
      <c r="C13" s="6" t="s">
        <v>388</v>
      </c>
      <c r="D13" s="8" t="s">
        <v>370</v>
      </c>
      <c r="E13" s="8" t="s">
        <v>370</v>
      </c>
      <c r="F13" s="6" t="s">
        <v>371</v>
      </c>
      <c r="G13" s="8" t="s">
        <v>7</v>
      </c>
      <c r="H13" s="9">
        <v>0</v>
      </c>
      <c r="I13" s="9">
        <v>1</v>
      </c>
      <c r="J13" s="92">
        <v>0</v>
      </c>
      <c r="K13" s="26" t="s">
        <v>263</v>
      </c>
      <c r="L13" s="141">
        <v>2.46</v>
      </c>
      <c r="M13" s="141">
        <v>0</v>
      </c>
      <c r="N13" s="126" t="s">
        <v>266</v>
      </c>
    </row>
    <row r="14" spans="1:14" ht="24.9" customHeight="1" x14ac:dyDescent="0.3">
      <c r="A14" s="271"/>
      <c r="B14" s="6" t="s">
        <v>389</v>
      </c>
      <c r="C14" s="6" t="s">
        <v>390</v>
      </c>
      <c r="D14" s="8" t="s">
        <v>370</v>
      </c>
      <c r="E14" s="8" t="s">
        <v>370</v>
      </c>
      <c r="F14" s="6" t="s">
        <v>371</v>
      </c>
      <c r="G14" s="8" t="s">
        <v>7</v>
      </c>
      <c r="H14" s="9">
        <v>0</v>
      </c>
      <c r="I14" s="9">
        <v>1</v>
      </c>
      <c r="J14" s="92">
        <v>0</v>
      </c>
      <c r="K14" s="69" t="s">
        <v>263</v>
      </c>
      <c r="L14" s="141">
        <v>0</v>
      </c>
      <c r="M14" s="141">
        <v>0</v>
      </c>
      <c r="N14" s="67" t="s">
        <v>266</v>
      </c>
    </row>
    <row r="15" spans="1:14" ht="24.9" customHeight="1" thickBot="1" x14ac:dyDescent="0.35">
      <c r="A15" s="272"/>
      <c r="B15" s="10" t="s">
        <v>391</v>
      </c>
      <c r="C15" s="10" t="s">
        <v>392</v>
      </c>
      <c r="D15" s="12" t="s">
        <v>370</v>
      </c>
      <c r="E15" s="12" t="s">
        <v>370</v>
      </c>
      <c r="F15" s="10" t="s">
        <v>371</v>
      </c>
      <c r="G15" s="12" t="s">
        <v>7</v>
      </c>
      <c r="H15" s="13">
        <v>0</v>
      </c>
      <c r="I15" s="13">
        <v>1</v>
      </c>
      <c r="J15" s="93">
        <v>0</v>
      </c>
      <c r="K15" s="70" t="s">
        <v>263</v>
      </c>
      <c r="L15" s="142">
        <v>0</v>
      </c>
      <c r="M15" s="142">
        <v>0</v>
      </c>
      <c r="N15" s="100" t="s">
        <v>266</v>
      </c>
    </row>
    <row r="16" spans="1:14" ht="24.9" customHeight="1" x14ac:dyDescent="0.3">
      <c r="A16" s="270" t="s">
        <v>393</v>
      </c>
      <c r="B16" s="2" t="s">
        <v>394</v>
      </c>
      <c r="C16" s="2" t="s">
        <v>489</v>
      </c>
      <c r="D16" s="4" t="s">
        <v>370</v>
      </c>
      <c r="E16" s="4" t="s">
        <v>370</v>
      </c>
      <c r="F16" s="2" t="s">
        <v>371</v>
      </c>
      <c r="G16" s="4" t="s">
        <v>9</v>
      </c>
      <c r="H16" s="5">
        <v>0</v>
      </c>
      <c r="I16" s="5">
        <v>3606</v>
      </c>
      <c r="J16" s="95">
        <v>0</v>
      </c>
      <c r="K16" s="85" t="s">
        <v>263</v>
      </c>
      <c r="L16" s="171">
        <v>0.04</v>
      </c>
      <c r="M16" s="171">
        <v>0</v>
      </c>
      <c r="N16" s="172" t="s">
        <v>266</v>
      </c>
    </row>
    <row r="17" spans="1:14" ht="24.9" customHeight="1" x14ac:dyDescent="0.3">
      <c r="A17" s="271"/>
      <c r="B17" s="6" t="s">
        <v>395</v>
      </c>
      <c r="C17" s="6" t="s">
        <v>396</v>
      </c>
      <c r="D17" s="8" t="s">
        <v>370</v>
      </c>
      <c r="E17" s="8" t="s">
        <v>370</v>
      </c>
      <c r="F17" s="6" t="s">
        <v>371</v>
      </c>
      <c r="G17" s="8" t="s">
        <v>9</v>
      </c>
      <c r="H17" s="9">
        <v>0</v>
      </c>
      <c r="I17" s="9">
        <v>3606</v>
      </c>
      <c r="J17" s="92">
        <v>0</v>
      </c>
      <c r="K17" s="69" t="s">
        <v>263</v>
      </c>
      <c r="L17" s="141">
        <v>0.09</v>
      </c>
      <c r="M17" s="141">
        <v>0.05</v>
      </c>
      <c r="N17" s="126" t="s">
        <v>266</v>
      </c>
    </row>
    <row r="18" spans="1:14" ht="24.9" customHeight="1" x14ac:dyDescent="0.3">
      <c r="A18" s="271"/>
      <c r="B18" s="64" t="s">
        <v>397</v>
      </c>
      <c r="C18" s="64" t="s">
        <v>398</v>
      </c>
      <c r="D18" s="65" t="s">
        <v>370</v>
      </c>
      <c r="E18" s="65" t="s">
        <v>370</v>
      </c>
      <c r="F18" s="64" t="s">
        <v>371</v>
      </c>
      <c r="G18" s="65" t="s">
        <v>9</v>
      </c>
      <c r="H18" s="66">
        <v>0</v>
      </c>
      <c r="I18" s="66">
        <v>3606</v>
      </c>
      <c r="J18" s="97">
        <v>0</v>
      </c>
      <c r="K18" s="72" t="s">
        <v>263</v>
      </c>
      <c r="L18" s="143">
        <v>0.02</v>
      </c>
      <c r="M18" s="143">
        <v>0</v>
      </c>
      <c r="N18" s="67" t="s">
        <v>266</v>
      </c>
    </row>
    <row r="19" spans="1:14" ht="24.9" customHeight="1" thickBot="1" x14ac:dyDescent="0.35">
      <c r="A19" s="272"/>
      <c r="B19" s="73" t="s">
        <v>399</v>
      </c>
      <c r="C19" s="73" t="s">
        <v>400</v>
      </c>
      <c r="D19" s="74" t="s">
        <v>370</v>
      </c>
      <c r="E19" s="74" t="s">
        <v>370</v>
      </c>
      <c r="F19" s="73" t="s">
        <v>371</v>
      </c>
      <c r="G19" s="74" t="s">
        <v>9</v>
      </c>
      <c r="H19" s="75">
        <v>0</v>
      </c>
      <c r="I19" s="75">
        <v>3606</v>
      </c>
      <c r="J19" s="98">
        <v>0</v>
      </c>
      <c r="K19" s="76" t="s">
        <v>263</v>
      </c>
      <c r="L19" s="144">
        <v>0</v>
      </c>
      <c r="M19" s="145">
        <v>0</v>
      </c>
      <c r="N19" s="67" t="s">
        <v>266</v>
      </c>
    </row>
    <row r="20" spans="1:14" ht="24.9" customHeight="1" thickBot="1" x14ac:dyDescent="0.35">
      <c r="A20" s="170" t="s">
        <v>401</v>
      </c>
      <c r="B20" s="77" t="s">
        <v>402</v>
      </c>
      <c r="C20" s="77" t="s">
        <v>403</v>
      </c>
      <c r="D20" s="78" t="s">
        <v>370</v>
      </c>
      <c r="E20" s="78" t="s">
        <v>370</v>
      </c>
      <c r="F20" s="77" t="s">
        <v>371</v>
      </c>
      <c r="G20" s="78" t="s">
        <v>9</v>
      </c>
      <c r="H20" s="79">
        <v>0</v>
      </c>
      <c r="I20" s="79">
        <v>3606</v>
      </c>
      <c r="J20" s="99">
        <v>0</v>
      </c>
      <c r="K20" s="80" t="s">
        <v>263</v>
      </c>
      <c r="L20" s="146">
        <v>4.59</v>
      </c>
      <c r="M20" s="146">
        <v>3.3</v>
      </c>
      <c r="N20" s="71" t="s">
        <v>266</v>
      </c>
    </row>
    <row r="21" spans="1:14" ht="24.9" customHeight="1" thickBot="1" x14ac:dyDescent="0.35">
      <c r="A21" s="170" t="s">
        <v>404</v>
      </c>
      <c r="B21" s="77" t="s">
        <v>405</v>
      </c>
      <c r="C21" s="77" t="s">
        <v>406</v>
      </c>
      <c r="D21" s="78" t="s">
        <v>370</v>
      </c>
      <c r="E21" s="78" t="s">
        <v>370</v>
      </c>
      <c r="F21" s="77" t="s">
        <v>371</v>
      </c>
      <c r="G21" s="78" t="s">
        <v>9</v>
      </c>
      <c r="H21" s="79">
        <v>0</v>
      </c>
      <c r="I21" s="79">
        <v>3606</v>
      </c>
      <c r="J21" s="99">
        <v>0</v>
      </c>
      <c r="K21" s="80" t="s">
        <v>263</v>
      </c>
      <c r="L21" s="146">
        <v>0.95</v>
      </c>
      <c r="M21" s="146">
        <v>0.18</v>
      </c>
      <c r="N21" s="71" t="s">
        <v>266</v>
      </c>
    </row>
    <row r="22" spans="1:14" ht="54.6" thickBot="1" x14ac:dyDescent="0.35">
      <c r="A22" s="127" t="s">
        <v>409</v>
      </c>
      <c r="B22" s="128" t="s">
        <v>407</v>
      </c>
      <c r="C22" s="128" t="s">
        <v>408</v>
      </c>
      <c r="D22" s="129" t="s">
        <v>370</v>
      </c>
      <c r="E22" s="129" t="s">
        <v>370</v>
      </c>
      <c r="F22" s="128" t="s">
        <v>154</v>
      </c>
      <c r="G22" s="129" t="s">
        <v>7</v>
      </c>
      <c r="H22" s="130">
        <v>0</v>
      </c>
      <c r="I22" s="130">
        <v>131</v>
      </c>
      <c r="J22" s="138">
        <v>0</v>
      </c>
      <c r="K22" s="129" t="s">
        <v>263</v>
      </c>
      <c r="L22" s="147">
        <v>0.01</v>
      </c>
      <c r="M22" s="148">
        <v>0</v>
      </c>
      <c r="N22" s="131" t="s">
        <v>266</v>
      </c>
    </row>
  </sheetData>
  <sheetProtection autoFilter="0"/>
  <autoFilter ref="A4:N22"/>
  <mergeCells count="16">
    <mergeCell ref="A5:A15"/>
    <mergeCell ref="A16:A19"/>
    <mergeCell ref="M3:M4"/>
    <mergeCell ref="A1:N1"/>
    <mergeCell ref="A2:N2"/>
    <mergeCell ref="A3:A4"/>
    <mergeCell ref="B3:B4"/>
    <mergeCell ref="C3:C4"/>
    <mergeCell ref="D3:D4"/>
    <mergeCell ref="E3:E4"/>
    <mergeCell ref="F3:F4"/>
    <mergeCell ref="G3:G4"/>
    <mergeCell ref="H3:J3"/>
    <mergeCell ref="K3:K4"/>
    <mergeCell ref="L3:L4"/>
    <mergeCell ref="N3:N4"/>
  </mergeCells>
  <phoneticPr fontId="1" type="noConversion"/>
  <printOptions horizontalCentered="1"/>
  <pageMargins left="0.51181102362204722" right="0.51181102362204722" top="0.59055118110236227" bottom="0.39370078740157483" header="0.31496062992125984" footer="0.31496062992125984"/>
  <pageSetup paperSize="9" scale="66" fitToHeight="26" orientation="landscape" r:id="rId1"/>
  <headerFooter>
    <oddFooter>第 &amp;P 頁，共 &amp;N 頁</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outlinePr summaryBelow="0" summaryRight="0"/>
    <pageSetUpPr autoPageBreaks="0" fitToPage="1"/>
  </sheetPr>
  <dimension ref="A1:L46"/>
  <sheetViews>
    <sheetView zoomScaleNormal="100" workbookViewId="0">
      <pane xSplit="1" ySplit="3" topLeftCell="B4" activePane="bottomRight" state="frozen"/>
      <selection activeCell="A2" sqref="A2:A6"/>
      <selection pane="topRight" activeCell="A2" sqref="A2:A6"/>
      <selection pane="bottomLeft" activeCell="A2" sqref="A2:A6"/>
      <selection pane="bottomRight" sqref="A1:J1"/>
    </sheetView>
  </sheetViews>
  <sheetFormatPr defaultColWidth="7.77734375" defaultRowHeight="19.2" x14ac:dyDescent="0.35"/>
  <cols>
    <col min="1" max="1" width="15.77734375" style="27" customWidth="1"/>
    <col min="2" max="2" width="14.109375" style="29" customWidth="1"/>
    <col min="3" max="3" width="68" style="29" customWidth="1"/>
    <col min="4" max="4" width="7" style="23" customWidth="1"/>
    <col min="5" max="5" width="10.88671875" style="27" bestFit="1" customWidth="1"/>
    <col min="6" max="7" width="11.109375" style="55" customWidth="1"/>
    <col min="8" max="9" width="11.109375" style="52" customWidth="1"/>
    <col min="10" max="10" width="9.88671875" style="23" customWidth="1"/>
    <col min="11" max="250" width="7.77734375" style="27"/>
    <col min="251" max="251" width="15.77734375" style="27" customWidth="1"/>
    <col min="252" max="252" width="14.109375" style="27" customWidth="1"/>
    <col min="253" max="253" width="68" style="27" customWidth="1"/>
    <col min="254" max="254" width="7" style="27" customWidth="1"/>
    <col min="255" max="255" width="10.88671875" style="27" bestFit="1" customWidth="1"/>
    <col min="256" max="259" width="11.109375" style="27" customWidth="1"/>
    <col min="260" max="260" width="9.88671875" style="27" customWidth="1"/>
    <col min="261" max="506" width="7.77734375" style="27"/>
    <col min="507" max="507" width="15.77734375" style="27" customWidth="1"/>
    <col min="508" max="508" width="14.109375" style="27" customWidth="1"/>
    <col min="509" max="509" width="68" style="27" customWidth="1"/>
    <col min="510" max="510" width="7" style="27" customWidth="1"/>
    <col min="511" max="511" width="10.88671875" style="27" bestFit="1" customWidth="1"/>
    <col min="512" max="515" width="11.109375" style="27" customWidth="1"/>
    <col min="516" max="516" width="9.88671875" style="27" customWidth="1"/>
    <col min="517" max="762" width="7.77734375" style="27"/>
    <col min="763" max="763" width="15.77734375" style="27" customWidth="1"/>
    <col min="764" max="764" width="14.109375" style="27" customWidth="1"/>
    <col min="765" max="765" width="68" style="27" customWidth="1"/>
    <col min="766" max="766" width="7" style="27" customWidth="1"/>
    <col min="767" max="767" width="10.88671875" style="27" bestFit="1" customWidth="1"/>
    <col min="768" max="771" width="11.109375" style="27" customWidth="1"/>
    <col min="772" max="772" width="9.88671875" style="27" customWidth="1"/>
    <col min="773" max="1018" width="7.77734375" style="27"/>
    <col min="1019" max="1019" width="15.77734375" style="27" customWidth="1"/>
    <col min="1020" max="1020" width="14.109375" style="27" customWidth="1"/>
    <col min="1021" max="1021" width="68" style="27" customWidth="1"/>
    <col min="1022" max="1022" width="7" style="27" customWidth="1"/>
    <col min="1023" max="1023" width="10.88671875" style="27" bestFit="1" customWidth="1"/>
    <col min="1024" max="1027" width="11.109375" style="27" customWidth="1"/>
    <col min="1028" max="1028" width="9.88671875" style="27" customWidth="1"/>
    <col min="1029" max="1274" width="7.77734375" style="27"/>
    <col min="1275" max="1275" width="15.77734375" style="27" customWidth="1"/>
    <col min="1276" max="1276" width="14.109375" style="27" customWidth="1"/>
    <col min="1277" max="1277" width="68" style="27" customWidth="1"/>
    <col min="1278" max="1278" width="7" style="27" customWidth="1"/>
    <col min="1279" max="1279" width="10.88671875" style="27" bestFit="1" customWidth="1"/>
    <col min="1280" max="1283" width="11.109375" style="27" customWidth="1"/>
    <col min="1284" max="1284" width="9.88671875" style="27" customWidth="1"/>
    <col min="1285" max="1530" width="7.77734375" style="27"/>
    <col min="1531" max="1531" width="15.77734375" style="27" customWidth="1"/>
    <col min="1532" max="1532" width="14.109375" style="27" customWidth="1"/>
    <col min="1533" max="1533" width="68" style="27" customWidth="1"/>
    <col min="1534" max="1534" width="7" style="27" customWidth="1"/>
    <col min="1535" max="1535" width="10.88671875" style="27" bestFit="1" customWidth="1"/>
    <col min="1536" max="1539" width="11.109375" style="27" customWidth="1"/>
    <col min="1540" max="1540" width="9.88671875" style="27" customWidth="1"/>
    <col min="1541" max="1786" width="7.77734375" style="27"/>
    <col min="1787" max="1787" width="15.77734375" style="27" customWidth="1"/>
    <col min="1788" max="1788" width="14.109375" style="27" customWidth="1"/>
    <col min="1789" max="1789" width="68" style="27" customWidth="1"/>
    <col min="1790" max="1790" width="7" style="27" customWidth="1"/>
    <col min="1791" max="1791" width="10.88671875" style="27" bestFit="1" customWidth="1"/>
    <col min="1792" max="1795" width="11.109375" style="27" customWidth="1"/>
    <col min="1796" max="1796" width="9.88671875" style="27" customWidth="1"/>
    <col min="1797" max="2042" width="7.77734375" style="27"/>
    <col min="2043" max="2043" width="15.77734375" style="27" customWidth="1"/>
    <col min="2044" max="2044" width="14.109375" style="27" customWidth="1"/>
    <col min="2045" max="2045" width="68" style="27" customWidth="1"/>
    <col min="2046" max="2046" width="7" style="27" customWidth="1"/>
    <col min="2047" max="2047" width="10.88671875" style="27" bestFit="1" customWidth="1"/>
    <col min="2048" max="2051" width="11.109375" style="27" customWidth="1"/>
    <col min="2052" max="2052" width="9.88671875" style="27" customWidth="1"/>
    <col min="2053" max="2298" width="7.77734375" style="27"/>
    <col min="2299" max="2299" width="15.77734375" style="27" customWidth="1"/>
    <col min="2300" max="2300" width="14.109375" style="27" customWidth="1"/>
    <col min="2301" max="2301" width="68" style="27" customWidth="1"/>
    <col min="2302" max="2302" width="7" style="27" customWidth="1"/>
    <col min="2303" max="2303" width="10.88671875" style="27" bestFit="1" customWidth="1"/>
    <col min="2304" max="2307" width="11.109375" style="27" customWidth="1"/>
    <col min="2308" max="2308" width="9.88671875" style="27" customWidth="1"/>
    <col min="2309" max="2554" width="7.77734375" style="27"/>
    <col min="2555" max="2555" width="15.77734375" style="27" customWidth="1"/>
    <col min="2556" max="2556" width="14.109375" style="27" customWidth="1"/>
    <col min="2557" max="2557" width="68" style="27" customWidth="1"/>
    <col min="2558" max="2558" width="7" style="27" customWidth="1"/>
    <col min="2559" max="2559" width="10.88671875" style="27" bestFit="1" customWidth="1"/>
    <col min="2560" max="2563" width="11.109375" style="27" customWidth="1"/>
    <col min="2564" max="2564" width="9.88671875" style="27" customWidth="1"/>
    <col min="2565" max="2810" width="7.77734375" style="27"/>
    <col min="2811" max="2811" width="15.77734375" style="27" customWidth="1"/>
    <col min="2812" max="2812" width="14.109375" style="27" customWidth="1"/>
    <col min="2813" max="2813" width="68" style="27" customWidth="1"/>
    <col min="2814" max="2814" width="7" style="27" customWidth="1"/>
    <col min="2815" max="2815" width="10.88671875" style="27" bestFit="1" customWidth="1"/>
    <col min="2816" max="2819" width="11.109375" style="27" customWidth="1"/>
    <col min="2820" max="2820" width="9.88671875" style="27" customWidth="1"/>
    <col min="2821" max="3066" width="7.77734375" style="27"/>
    <col min="3067" max="3067" width="15.77734375" style="27" customWidth="1"/>
    <col min="3068" max="3068" width="14.109375" style="27" customWidth="1"/>
    <col min="3069" max="3069" width="68" style="27" customWidth="1"/>
    <col min="3070" max="3070" width="7" style="27" customWidth="1"/>
    <col min="3071" max="3071" width="10.88671875" style="27" bestFit="1" customWidth="1"/>
    <col min="3072" max="3075" width="11.109375" style="27" customWidth="1"/>
    <col min="3076" max="3076" width="9.88671875" style="27" customWidth="1"/>
    <col min="3077" max="3322" width="7.77734375" style="27"/>
    <col min="3323" max="3323" width="15.77734375" style="27" customWidth="1"/>
    <col min="3324" max="3324" width="14.109375" style="27" customWidth="1"/>
    <col min="3325" max="3325" width="68" style="27" customWidth="1"/>
    <col min="3326" max="3326" width="7" style="27" customWidth="1"/>
    <col min="3327" max="3327" width="10.88671875" style="27" bestFit="1" customWidth="1"/>
    <col min="3328" max="3331" width="11.109375" style="27" customWidth="1"/>
    <col min="3332" max="3332" width="9.88671875" style="27" customWidth="1"/>
    <col min="3333" max="3578" width="7.77734375" style="27"/>
    <col min="3579" max="3579" width="15.77734375" style="27" customWidth="1"/>
    <col min="3580" max="3580" width="14.109375" style="27" customWidth="1"/>
    <col min="3581" max="3581" width="68" style="27" customWidth="1"/>
    <col min="3582" max="3582" width="7" style="27" customWidth="1"/>
    <col min="3583" max="3583" width="10.88671875" style="27" bestFit="1" customWidth="1"/>
    <col min="3584" max="3587" width="11.109375" style="27" customWidth="1"/>
    <col min="3588" max="3588" width="9.88671875" style="27" customWidth="1"/>
    <col min="3589" max="3834" width="7.77734375" style="27"/>
    <col min="3835" max="3835" width="15.77734375" style="27" customWidth="1"/>
    <col min="3836" max="3836" width="14.109375" style="27" customWidth="1"/>
    <col min="3837" max="3837" width="68" style="27" customWidth="1"/>
    <col min="3838" max="3838" width="7" style="27" customWidth="1"/>
    <col min="3839" max="3839" width="10.88671875" style="27" bestFit="1" customWidth="1"/>
    <col min="3840" max="3843" width="11.109375" style="27" customWidth="1"/>
    <col min="3844" max="3844" width="9.88671875" style="27" customWidth="1"/>
    <col min="3845" max="4090" width="7.77734375" style="27"/>
    <col min="4091" max="4091" width="15.77734375" style="27" customWidth="1"/>
    <col min="4092" max="4092" width="14.109375" style="27" customWidth="1"/>
    <col min="4093" max="4093" width="68" style="27" customWidth="1"/>
    <col min="4094" max="4094" width="7" style="27" customWidth="1"/>
    <col min="4095" max="4095" width="10.88671875" style="27" bestFit="1" customWidth="1"/>
    <col min="4096" max="4099" width="11.109375" style="27" customWidth="1"/>
    <col min="4100" max="4100" width="9.88671875" style="27" customWidth="1"/>
    <col min="4101" max="4346" width="7.77734375" style="27"/>
    <col min="4347" max="4347" width="15.77734375" style="27" customWidth="1"/>
    <col min="4348" max="4348" width="14.109375" style="27" customWidth="1"/>
    <col min="4349" max="4349" width="68" style="27" customWidth="1"/>
    <col min="4350" max="4350" width="7" style="27" customWidth="1"/>
    <col min="4351" max="4351" width="10.88671875" style="27" bestFit="1" customWidth="1"/>
    <col min="4352" max="4355" width="11.109375" style="27" customWidth="1"/>
    <col min="4356" max="4356" width="9.88671875" style="27" customWidth="1"/>
    <col min="4357" max="4602" width="7.77734375" style="27"/>
    <col min="4603" max="4603" width="15.77734375" style="27" customWidth="1"/>
    <col min="4604" max="4604" width="14.109375" style="27" customWidth="1"/>
    <col min="4605" max="4605" width="68" style="27" customWidth="1"/>
    <col min="4606" max="4606" width="7" style="27" customWidth="1"/>
    <col min="4607" max="4607" width="10.88671875" style="27" bestFit="1" customWidth="1"/>
    <col min="4608" max="4611" width="11.109375" style="27" customWidth="1"/>
    <col min="4612" max="4612" width="9.88671875" style="27" customWidth="1"/>
    <col min="4613" max="4858" width="7.77734375" style="27"/>
    <col min="4859" max="4859" width="15.77734375" style="27" customWidth="1"/>
    <col min="4860" max="4860" width="14.109375" style="27" customWidth="1"/>
    <col min="4861" max="4861" width="68" style="27" customWidth="1"/>
    <col min="4862" max="4862" width="7" style="27" customWidth="1"/>
    <col min="4863" max="4863" width="10.88671875" style="27" bestFit="1" customWidth="1"/>
    <col min="4864" max="4867" width="11.109375" style="27" customWidth="1"/>
    <col min="4868" max="4868" width="9.88671875" style="27" customWidth="1"/>
    <col min="4869" max="5114" width="7.77734375" style="27"/>
    <col min="5115" max="5115" width="15.77734375" style="27" customWidth="1"/>
    <col min="5116" max="5116" width="14.109375" style="27" customWidth="1"/>
    <col min="5117" max="5117" width="68" style="27" customWidth="1"/>
    <col min="5118" max="5118" width="7" style="27" customWidth="1"/>
    <col min="5119" max="5119" width="10.88671875" style="27" bestFit="1" customWidth="1"/>
    <col min="5120" max="5123" width="11.109375" style="27" customWidth="1"/>
    <col min="5124" max="5124" width="9.88671875" style="27" customWidth="1"/>
    <col min="5125" max="5370" width="7.77734375" style="27"/>
    <col min="5371" max="5371" width="15.77734375" style="27" customWidth="1"/>
    <col min="5372" max="5372" width="14.109375" style="27" customWidth="1"/>
    <col min="5373" max="5373" width="68" style="27" customWidth="1"/>
    <col min="5374" max="5374" width="7" style="27" customWidth="1"/>
    <col min="5375" max="5375" width="10.88671875" style="27" bestFit="1" customWidth="1"/>
    <col min="5376" max="5379" width="11.109375" style="27" customWidth="1"/>
    <col min="5380" max="5380" width="9.88671875" style="27" customWidth="1"/>
    <col min="5381" max="5626" width="7.77734375" style="27"/>
    <col min="5627" max="5627" width="15.77734375" style="27" customWidth="1"/>
    <col min="5628" max="5628" width="14.109375" style="27" customWidth="1"/>
    <col min="5629" max="5629" width="68" style="27" customWidth="1"/>
    <col min="5630" max="5630" width="7" style="27" customWidth="1"/>
    <col min="5631" max="5631" width="10.88671875" style="27" bestFit="1" customWidth="1"/>
    <col min="5632" max="5635" width="11.109375" style="27" customWidth="1"/>
    <col min="5636" max="5636" width="9.88671875" style="27" customWidth="1"/>
    <col min="5637" max="5882" width="7.77734375" style="27"/>
    <col min="5883" max="5883" width="15.77734375" style="27" customWidth="1"/>
    <col min="5884" max="5884" width="14.109375" style="27" customWidth="1"/>
    <col min="5885" max="5885" width="68" style="27" customWidth="1"/>
    <col min="5886" max="5886" width="7" style="27" customWidth="1"/>
    <col min="5887" max="5887" width="10.88671875" style="27" bestFit="1" customWidth="1"/>
    <col min="5888" max="5891" width="11.109375" style="27" customWidth="1"/>
    <col min="5892" max="5892" width="9.88671875" style="27" customWidth="1"/>
    <col min="5893" max="6138" width="7.77734375" style="27"/>
    <col min="6139" max="6139" width="15.77734375" style="27" customWidth="1"/>
    <col min="6140" max="6140" width="14.109375" style="27" customWidth="1"/>
    <col min="6141" max="6141" width="68" style="27" customWidth="1"/>
    <col min="6142" max="6142" width="7" style="27" customWidth="1"/>
    <col min="6143" max="6143" width="10.88671875" style="27" bestFit="1" customWidth="1"/>
    <col min="6144" max="6147" width="11.109375" style="27" customWidth="1"/>
    <col min="6148" max="6148" width="9.88671875" style="27" customWidth="1"/>
    <col min="6149" max="6394" width="7.77734375" style="27"/>
    <col min="6395" max="6395" width="15.77734375" style="27" customWidth="1"/>
    <col min="6396" max="6396" width="14.109375" style="27" customWidth="1"/>
    <col min="6397" max="6397" width="68" style="27" customWidth="1"/>
    <col min="6398" max="6398" width="7" style="27" customWidth="1"/>
    <col min="6399" max="6399" width="10.88671875" style="27" bestFit="1" customWidth="1"/>
    <col min="6400" max="6403" width="11.109375" style="27" customWidth="1"/>
    <col min="6404" max="6404" width="9.88671875" style="27" customWidth="1"/>
    <col min="6405" max="6650" width="7.77734375" style="27"/>
    <col min="6651" max="6651" width="15.77734375" style="27" customWidth="1"/>
    <col min="6652" max="6652" width="14.109375" style="27" customWidth="1"/>
    <col min="6653" max="6653" width="68" style="27" customWidth="1"/>
    <col min="6654" max="6654" width="7" style="27" customWidth="1"/>
    <col min="6655" max="6655" width="10.88671875" style="27" bestFit="1" customWidth="1"/>
    <col min="6656" max="6659" width="11.109375" style="27" customWidth="1"/>
    <col min="6660" max="6660" width="9.88671875" style="27" customWidth="1"/>
    <col min="6661" max="6906" width="7.77734375" style="27"/>
    <col min="6907" max="6907" width="15.77734375" style="27" customWidth="1"/>
    <col min="6908" max="6908" width="14.109375" style="27" customWidth="1"/>
    <col min="6909" max="6909" width="68" style="27" customWidth="1"/>
    <col min="6910" max="6910" width="7" style="27" customWidth="1"/>
    <col min="6911" max="6911" width="10.88671875" style="27" bestFit="1" customWidth="1"/>
    <col min="6912" max="6915" width="11.109375" style="27" customWidth="1"/>
    <col min="6916" max="6916" width="9.88671875" style="27" customWidth="1"/>
    <col min="6917" max="7162" width="7.77734375" style="27"/>
    <col min="7163" max="7163" width="15.77734375" style="27" customWidth="1"/>
    <col min="7164" max="7164" width="14.109375" style="27" customWidth="1"/>
    <col min="7165" max="7165" width="68" style="27" customWidth="1"/>
    <col min="7166" max="7166" width="7" style="27" customWidth="1"/>
    <col min="7167" max="7167" width="10.88671875" style="27" bestFit="1" customWidth="1"/>
    <col min="7168" max="7171" width="11.109375" style="27" customWidth="1"/>
    <col min="7172" max="7172" width="9.88671875" style="27" customWidth="1"/>
    <col min="7173" max="7418" width="7.77734375" style="27"/>
    <col min="7419" max="7419" width="15.77734375" style="27" customWidth="1"/>
    <col min="7420" max="7420" width="14.109375" style="27" customWidth="1"/>
    <col min="7421" max="7421" width="68" style="27" customWidth="1"/>
    <col min="7422" max="7422" width="7" style="27" customWidth="1"/>
    <col min="7423" max="7423" width="10.88671875" style="27" bestFit="1" customWidth="1"/>
    <col min="7424" max="7427" width="11.109375" style="27" customWidth="1"/>
    <col min="7428" max="7428" width="9.88671875" style="27" customWidth="1"/>
    <col min="7429" max="7674" width="7.77734375" style="27"/>
    <col min="7675" max="7675" width="15.77734375" style="27" customWidth="1"/>
    <col min="7676" max="7676" width="14.109375" style="27" customWidth="1"/>
    <col min="7677" max="7677" width="68" style="27" customWidth="1"/>
    <col min="7678" max="7678" width="7" style="27" customWidth="1"/>
    <col min="7679" max="7679" width="10.88671875" style="27" bestFit="1" customWidth="1"/>
    <col min="7680" max="7683" width="11.109375" style="27" customWidth="1"/>
    <col min="7684" max="7684" width="9.88671875" style="27" customWidth="1"/>
    <col min="7685" max="7930" width="7.77734375" style="27"/>
    <col min="7931" max="7931" width="15.77734375" style="27" customWidth="1"/>
    <col min="7932" max="7932" width="14.109375" style="27" customWidth="1"/>
    <col min="7933" max="7933" width="68" style="27" customWidth="1"/>
    <col min="7934" max="7934" width="7" style="27" customWidth="1"/>
    <col min="7935" max="7935" width="10.88671875" style="27" bestFit="1" customWidth="1"/>
    <col min="7936" max="7939" width="11.109375" style="27" customWidth="1"/>
    <col min="7940" max="7940" width="9.88671875" style="27" customWidth="1"/>
    <col min="7941" max="8186" width="7.77734375" style="27"/>
    <col min="8187" max="8187" width="15.77734375" style="27" customWidth="1"/>
    <col min="8188" max="8188" width="14.109375" style="27" customWidth="1"/>
    <col min="8189" max="8189" width="68" style="27" customWidth="1"/>
    <col min="8190" max="8190" width="7" style="27" customWidth="1"/>
    <col min="8191" max="8191" width="10.88671875" style="27" bestFit="1" customWidth="1"/>
    <col min="8192" max="8195" width="11.109375" style="27" customWidth="1"/>
    <col min="8196" max="8196" width="9.88671875" style="27" customWidth="1"/>
    <col min="8197" max="8442" width="7.77734375" style="27"/>
    <col min="8443" max="8443" width="15.77734375" style="27" customWidth="1"/>
    <col min="8444" max="8444" width="14.109375" style="27" customWidth="1"/>
    <col min="8445" max="8445" width="68" style="27" customWidth="1"/>
    <col min="8446" max="8446" width="7" style="27" customWidth="1"/>
    <col min="8447" max="8447" width="10.88671875" style="27" bestFit="1" customWidth="1"/>
    <col min="8448" max="8451" width="11.109375" style="27" customWidth="1"/>
    <col min="8452" max="8452" width="9.88671875" style="27" customWidth="1"/>
    <col min="8453" max="8698" width="7.77734375" style="27"/>
    <col min="8699" max="8699" width="15.77734375" style="27" customWidth="1"/>
    <col min="8700" max="8700" width="14.109375" style="27" customWidth="1"/>
    <col min="8701" max="8701" width="68" style="27" customWidth="1"/>
    <col min="8702" max="8702" width="7" style="27" customWidth="1"/>
    <col min="8703" max="8703" width="10.88671875" style="27" bestFit="1" customWidth="1"/>
    <col min="8704" max="8707" width="11.109375" style="27" customWidth="1"/>
    <col min="8708" max="8708" width="9.88671875" style="27" customWidth="1"/>
    <col min="8709" max="8954" width="7.77734375" style="27"/>
    <col min="8955" max="8955" width="15.77734375" style="27" customWidth="1"/>
    <col min="8956" max="8956" width="14.109375" style="27" customWidth="1"/>
    <col min="8957" max="8957" width="68" style="27" customWidth="1"/>
    <col min="8958" max="8958" width="7" style="27" customWidth="1"/>
    <col min="8959" max="8959" width="10.88671875" style="27" bestFit="1" customWidth="1"/>
    <col min="8960" max="8963" width="11.109375" style="27" customWidth="1"/>
    <col min="8964" max="8964" width="9.88671875" style="27" customWidth="1"/>
    <col min="8965" max="9210" width="7.77734375" style="27"/>
    <col min="9211" max="9211" width="15.77734375" style="27" customWidth="1"/>
    <col min="9212" max="9212" width="14.109375" style="27" customWidth="1"/>
    <col min="9213" max="9213" width="68" style="27" customWidth="1"/>
    <col min="9214" max="9214" width="7" style="27" customWidth="1"/>
    <col min="9215" max="9215" width="10.88671875" style="27" bestFit="1" customWidth="1"/>
    <col min="9216" max="9219" width="11.109375" style="27" customWidth="1"/>
    <col min="9220" max="9220" width="9.88671875" style="27" customWidth="1"/>
    <col min="9221" max="9466" width="7.77734375" style="27"/>
    <col min="9467" max="9467" width="15.77734375" style="27" customWidth="1"/>
    <col min="9468" max="9468" width="14.109375" style="27" customWidth="1"/>
    <col min="9469" max="9469" width="68" style="27" customWidth="1"/>
    <col min="9470" max="9470" width="7" style="27" customWidth="1"/>
    <col min="9471" max="9471" width="10.88671875" style="27" bestFit="1" customWidth="1"/>
    <col min="9472" max="9475" width="11.109375" style="27" customWidth="1"/>
    <col min="9476" max="9476" width="9.88671875" style="27" customWidth="1"/>
    <col min="9477" max="9722" width="7.77734375" style="27"/>
    <col min="9723" max="9723" width="15.77734375" style="27" customWidth="1"/>
    <col min="9724" max="9724" width="14.109375" style="27" customWidth="1"/>
    <col min="9725" max="9725" width="68" style="27" customWidth="1"/>
    <col min="9726" max="9726" width="7" style="27" customWidth="1"/>
    <col min="9727" max="9727" width="10.88671875" style="27" bestFit="1" customWidth="1"/>
    <col min="9728" max="9731" width="11.109375" style="27" customWidth="1"/>
    <col min="9732" max="9732" width="9.88671875" style="27" customWidth="1"/>
    <col min="9733" max="9978" width="7.77734375" style="27"/>
    <col min="9979" max="9979" width="15.77734375" style="27" customWidth="1"/>
    <col min="9980" max="9980" width="14.109375" style="27" customWidth="1"/>
    <col min="9981" max="9981" width="68" style="27" customWidth="1"/>
    <col min="9982" max="9982" width="7" style="27" customWidth="1"/>
    <col min="9983" max="9983" width="10.88671875" style="27" bestFit="1" customWidth="1"/>
    <col min="9984" max="9987" width="11.109375" style="27" customWidth="1"/>
    <col min="9988" max="9988" width="9.88671875" style="27" customWidth="1"/>
    <col min="9989" max="10234" width="7.77734375" style="27"/>
    <col min="10235" max="10235" width="15.77734375" style="27" customWidth="1"/>
    <col min="10236" max="10236" width="14.109375" style="27" customWidth="1"/>
    <col min="10237" max="10237" width="68" style="27" customWidth="1"/>
    <col min="10238" max="10238" width="7" style="27" customWidth="1"/>
    <col min="10239" max="10239" width="10.88671875" style="27" bestFit="1" customWidth="1"/>
    <col min="10240" max="10243" width="11.109375" style="27" customWidth="1"/>
    <col min="10244" max="10244" width="9.88671875" style="27" customWidth="1"/>
    <col min="10245" max="10490" width="7.77734375" style="27"/>
    <col min="10491" max="10491" width="15.77734375" style="27" customWidth="1"/>
    <col min="10492" max="10492" width="14.109375" style="27" customWidth="1"/>
    <col min="10493" max="10493" width="68" style="27" customWidth="1"/>
    <col min="10494" max="10494" width="7" style="27" customWidth="1"/>
    <col min="10495" max="10495" width="10.88671875" style="27" bestFit="1" customWidth="1"/>
    <col min="10496" max="10499" width="11.109375" style="27" customWidth="1"/>
    <col min="10500" max="10500" width="9.88671875" style="27" customWidth="1"/>
    <col min="10501" max="10746" width="7.77734375" style="27"/>
    <col min="10747" max="10747" width="15.77734375" style="27" customWidth="1"/>
    <col min="10748" max="10748" width="14.109375" style="27" customWidth="1"/>
    <col min="10749" max="10749" width="68" style="27" customWidth="1"/>
    <col min="10750" max="10750" width="7" style="27" customWidth="1"/>
    <col min="10751" max="10751" width="10.88671875" style="27" bestFit="1" customWidth="1"/>
    <col min="10752" max="10755" width="11.109375" style="27" customWidth="1"/>
    <col min="10756" max="10756" width="9.88671875" style="27" customWidth="1"/>
    <col min="10757" max="11002" width="7.77734375" style="27"/>
    <col min="11003" max="11003" width="15.77734375" style="27" customWidth="1"/>
    <col min="11004" max="11004" width="14.109375" style="27" customWidth="1"/>
    <col min="11005" max="11005" width="68" style="27" customWidth="1"/>
    <col min="11006" max="11006" width="7" style="27" customWidth="1"/>
    <col min="11007" max="11007" width="10.88671875" style="27" bestFit="1" customWidth="1"/>
    <col min="11008" max="11011" width="11.109375" style="27" customWidth="1"/>
    <col min="11012" max="11012" width="9.88671875" style="27" customWidth="1"/>
    <col min="11013" max="11258" width="7.77734375" style="27"/>
    <col min="11259" max="11259" width="15.77734375" style="27" customWidth="1"/>
    <col min="11260" max="11260" width="14.109375" style="27" customWidth="1"/>
    <col min="11261" max="11261" width="68" style="27" customWidth="1"/>
    <col min="11262" max="11262" width="7" style="27" customWidth="1"/>
    <col min="11263" max="11263" width="10.88671875" style="27" bestFit="1" customWidth="1"/>
    <col min="11264" max="11267" width="11.109375" style="27" customWidth="1"/>
    <col min="11268" max="11268" width="9.88671875" style="27" customWidth="1"/>
    <col min="11269" max="11514" width="7.77734375" style="27"/>
    <col min="11515" max="11515" width="15.77734375" style="27" customWidth="1"/>
    <col min="11516" max="11516" width="14.109375" style="27" customWidth="1"/>
    <col min="11517" max="11517" width="68" style="27" customWidth="1"/>
    <col min="11518" max="11518" width="7" style="27" customWidth="1"/>
    <col min="11519" max="11519" width="10.88671875" style="27" bestFit="1" customWidth="1"/>
    <col min="11520" max="11523" width="11.109375" style="27" customWidth="1"/>
    <col min="11524" max="11524" width="9.88671875" style="27" customWidth="1"/>
    <col min="11525" max="11770" width="7.77734375" style="27"/>
    <col min="11771" max="11771" width="15.77734375" style="27" customWidth="1"/>
    <col min="11772" max="11772" width="14.109375" style="27" customWidth="1"/>
    <col min="11773" max="11773" width="68" style="27" customWidth="1"/>
    <col min="11774" max="11774" width="7" style="27" customWidth="1"/>
    <col min="11775" max="11775" width="10.88671875" style="27" bestFit="1" customWidth="1"/>
    <col min="11776" max="11779" width="11.109375" style="27" customWidth="1"/>
    <col min="11780" max="11780" width="9.88671875" style="27" customWidth="1"/>
    <col min="11781" max="12026" width="7.77734375" style="27"/>
    <col min="12027" max="12027" width="15.77734375" style="27" customWidth="1"/>
    <col min="12028" max="12028" width="14.109375" style="27" customWidth="1"/>
    <col min="12029" max="12029" width="68" style="27" customWidth="1"/>
    <col min="12030" max="12030" width="7" style="27" customWidth="1"/>
    <col min="12031" max="12031" width="10.88671875" style="27" bestFit="1" customWidth="1"/>
    <col min="12032" max="12035" width="11.109375" style="27" customWidth="1"/>
    <col min="12036" max="12036" width="9.88671875" style="27" customWidth="1"/>
    <col min="12037" max="12282" width="7.77734375" style="27"/>
    <col min="12283" max="12283" width="15.77734375" style="27" customWidth="1"/>
    <col min="12284" max="12284" width="14.109375" style="27" customWidth="1"/>
    <col min="12285" max="12285" width="68" style="27" customWidth="1"/>
    <col min="12286" max="12286" width="7" style="27" customWidth="1"/>
    <col min="12287" max="12287" width="10.88671875" style="27" bestFit="1" customWidth="1"/>
    <col min="12288" max="12291" width="11.109375" style="27" customWidth="1"/>
    <col min="12292" max="12292" width="9.88671875" style="27" customWidth="1"/>
    <col min="12293" max="12538" width="7.77734375" style="27"/>
    <col min="12539" max="12539" width="15.77734375" style="27" customWidth="1"/>
    <col min="12540" max="12540" width="14.109375" style="27" customWidth="1"/>
    <col min="12541" max="12541" width="68" style="27" customWidth="1"/>
    <col min="12542" max="12542" width="7" style="27" customWidth="1"/>
    <col min="12543" max="12543" width="10.88671875" style="27" bestFit="1" customWidth="1"/>
    <col min="12544" max="12547" width="11.109375" style="27" customWidth="1"/>
    <col min="12548" max="12548" width="9.88671875" style="27" customWidth="1"/>
    <col min="12549" max="12794" width="7.77734375" style="27"/>
    <col min="12795" max="12795" width="15.77734375" style="27" customWidth="1"/>
    <col min="12796" max="12796" width="14.109375" style="27" customWidth="1"/>
    <col min="12797" max="12797" width="68" style="27" customWidth="1"/>
    <col min="12798" max="12798" width="7" style="27" customWidth="1"/>
    <col min="12799" max="12799" width="10.88671875" style="27" bestFit="1" customWidth="1"/>
    <col min="12800" max="12803" width="11.109375" style="27" customWidth="1"/>
    <col min="12804" max="12804" width="9.88671875" style="27" customWidth="1"/>
    <col min="12805" max="13050" width="7.77734375" style="27"/>
    <col min="13051" max="13051" width="15.77734375" style="27" customWidth="1"/>
    <col min="13052" max="13052" width="14.109375" style="27" customWidth="1"/>
    <col min="13053" max="13053" width="68" style="27" customWidth="1"/>
    <col min="13054" max="13054" width="7" style="27" customWidth="1"/>
    <col min="13055" max="13055" width="10.88671875" style="27" bestFit="1" customWidth="1"/>
    <col min="13056" max="13059" width="11.109375" style="27" customWidth="1"/>
    <col min="13060" max="13060" width="9.88671875" style="27" customWidth="1"/>
    <col min="13061" max="13306" width="7.77734375" style="27"/>
    <col min="13307" max="13307" width="15.77734375" style="27" customWidth="1"/>
    <col min="13308" max="13308" width="14.109375" style="27" customWidth="1"/>
    <col min="13309" max="13309" width="68" style="27" customWidth="1"/>
    <col min="13310" max="13310" width="7" style="27" customWidth="1"/>
    <col min="13311" max="13311" width="10.88671875" style="27" bestFit="1" customWidth="1"/>
    <col min="13312" max="13315" width="11.109375" style="27" customWidth="1"/>
    <col min="13316" max="13316" width="9.88671875" style="27" customWidth="1"/>
    <col min="13317" max="13562" width="7.77734375" style="27"/>
    <col min="13563" max="13563" width="15.77734375" style="27" customWidth="1"/>
    <col min="13564" max="13564" width="14.109375" style="27" customWidth="1"/>
    <col min="13565" max="13565" width="68" style="27" customWidth="1"/>
    <col min="13566" max="13566" width="7" style="27" customWidth="1"/>
    <col min="13567" max="13567" width="10.88671875" style="27" bestFit="1" customWidth="1"/>
    <col min="13568" max="13571" width="11.109375" style="27" customWidth="1"/>
    <col min="13572" max="13572" width="9.88671875" style="27" customWidth="1"/>
    <col min="13573" max="13818" width="7.77734375" style="27"/>
    <col min="13819" max="13819" width="15.77734375" style="27" customWidth="1"/>
    <col min="13820" max="13820" width="14.109375" style="27" customWidth="1"/>
    <col min="13821" max="13821" width="68" style="27" customWidth="1"/>
    <col min="13822" max="13822" width="7" style="27" customWidth="1"/>
    <col min="13823" max="13823" width="10.88671875" style="27" bestFit="1" customWidth="1"/>
    <col min="13824" max="13827" width="11.109375" style="27" customWidth="1"/>
    <col min="13828" max="13828" width="9.88671875" style="27" customWidth="1"/>
    <col min="13829" max="14074" width="7.77734375" style="27"/>
    <col min="14075" max="14075" width="15.77734375" style="27" customWidth="1"/>
    <col min="14076" max="14076" width="14.109375" style="27" customWidth="1"/>
    <col min="14077" max="14077" width="68" style="27" customWidth="1"/>
    <col min="14078" max="14078" width="7" style="27" customWidth="1"/>
    <col min="14079" max="14079" width="10.88671875" style="27" bestFit="1" customWidth="1"/>
    <col min="14080" max="14083" width="11.109375" style="27" customWidth="1"/>
    <col min="14084" max="14084" width="9.88671875" style="27" customWidth="1"/>
    <col min="14085" max="14330" width="7.77734375" style="27"/>
    <col min="14331" max="14331" width="15.77734375" style="27" customWidth="1"/>
    <col min="14332" max="14332" width="14.109375" style="27" customWidth="1"/>
    <col min="14333" max="14333" width="68" style="27" customWidth="1"/>
    <col min="14334" max="14334" width="7" style="27" customWidth="1"/>
    <col min="14335" max="14335" width="10.88671875" style="27" bestFit="1" customWidth="1"/>
    <col min="14336" max="14339" width="11.109375" style="27" customWidth="1"/>
    <col min="14340" max="14340" width="9.88671875" style="27" customWidth="1"/>
    <col min="14341" max="14586" width="7.77734375" style="27"/>
    <col min="14587" max="14587" width="15.77734375" style="27" customWidth="1"/>
    <col min="14588" max="14588" width="14.109375" style="27" customWidth="1"/>
    <col min="14589" max="14589" width="68" style="27" customWidth="1"/>
    <col min="14590" max="14590" width="7" style="27" customWidth="1"/>
    <col min="14591" max="14591" width="10.88671875" style="27" bestFit="1" customWidth="1"/>
    <col min="14592" max="14595" width="11.109375" style="27" customWidth="1"/>
    <col min="14596" max="14596" width="9.88671875" style="27" customWidth="1"/>
    <col min="14597" max="14842" width="7.77734375" style="27"/>
    <col min="14843" max="14843" width="15.77734375" style="27" customWidth="1"/>
    <col min="14844" max="14844" width="14.109375" style="27" customWidth="1"/>
    <col min="14845" max="14845" width="68" style="27" customWidth="1"/>
    <col min="14846" max="14846" width="7" style="27" customWidth="1"/>
    <col min="14847" max="14847" width="10.88671875" style="27" bestFit="1" customWidth="1"/>
    <col min="14848" max="14851" width="11.109375" style="27" customWidth="1"/>
    <col min="14852" max="14852" width="9.88671875" style="27" customWidth="1"/>
    <col min="14853" max="15098" width="7.77734375" style="27"/>
    <col min="15099" max="15099" width="15.77734375" style="27" customWidth="1"/>
    <col min="15100" max="15100" width="14.109375" style="27" customWidth="1"/>
    <col min="15101" max="15101" width="68" style="27" customWidth="1"/>
    <col min="15102" max="15102" width="7" style="27" customWidth="1"/>
    <col min="15103" max="15103" width="10.88671875" style="27" bestFit="1" customWidth="1"/>
    <col min="15104" max="15107" width="11.109375" style="27" customWidth="1"/>
    <col min="15108" max="15108" width="9.88671875" style="27" customWidth="1"/>
    <col min="15109" max="15354" width="7.77734375" style="27"/>
    <col min="15355" max="15355" width="15.77734375" style="27" customWidth="1"/>
    <col min="15356" max="15356" width="14.109375" style="27" customWidth="1"/>
    <col min="15357" max="15357" width="68" style="27" customWidth="1"/>
    <col min="15358" max="15358" width="7" style="27" customWidth="1"/>
    <col min="15359" max="15359" width="10.88671875" style="27" bestFit="1" customWidth="1"/>
    <col min="15360" max="15363" width="11.109375" style="27" customWidth="1"/>
    <col min="15364" max="15364" width="9.88671875" style="27" customWidth="1"/>
    <col min="15365" max="15610" width="7.77734375" style="27"/>
    <col min="15611" max="15611" width="15.77734375" style="27" customWidth="1"/>
    <col min="15612" max="15612" width="14.109375" style="27" customWidth="1"/>
    <col min="15613" max="15613" width="68" style="27" customWidth="1"/>
    <col min="15614" max="15614" width="7" style="27" customWidth="1"/>
    <col min="15615" max="15615" width="10.88671875" style="27" bestFit="1" customWidth="1"/>
    <col min="15616" max="15619" width="11.109375" style="27" customWidth="1"/>
    <col min="15620" max="15620" width="9.88671875" style="27" customWidth="1"/>
    <col min="15621" max="15866" width="7.77734375" style="27"/>
    <col min="15867" max="15867" width="15.77734375" style="27" customWidth="1"/>
    <col min="15868" max="15868" width="14.109375" style="27" customWidth="1"/>
    <col min="15869" max="15869" width="68" style="27" customWidth="1"/>
    <col min="15870" max="15870" width="7" style="27" customWidth="1"/>
    <col min="15871" max="15871" width="10.88671875" style="27" bestFit="1" customWidth="1"/>
    <col min="15872" max="15875" width="11.109375" style="27" customWidth="1"/>
    <col min="15876" max="15876" width="9.88671875" style="27" customWidth="1"/>
    <col min="15877" max="16122" width="7.77734375" style="27"/>
    <col min="16123" max="16123" width="15.77734375" style="27" customWidth="1"/>
    <col min="16124" max="16124" width="14.109375" style="27" customWidth="1"/>
    <col min="16125" max="16125" width="68" style="27" customWidth="1"/>
    <col min="16126" max="16126" width="7" style="27" customWidth="1"/>
    <col min="16127" max="16127" width="10.88671875" style="27" bestFit="1" customWidth="1"/>
    <col min="16128" max="16131" width="11.109375" style="27" customWidth="1"/>
    <col min="16132" max="16132" width="9.88671875" style="27" customWidth="1"/>
    <col min="16133" max="16384" width="7.77734375" style="27"/>
  </cols>
  <sheetData>
    <row r="1" spans="1:12" s="1" customFormat="1" ht="28.5" customHeight="1" thickBot="1" x14ac:dyDescent="0.35">
      <c r="A1" s="281" t="s">
        <v>532</v>
      </c>
      <c r="B1" s="281"/>
      <c r="C1" s="281"/>
      <c r="D1" s="281"/>
      <c r="E1" s="281"/>
      <c r="F1" s="281"/>
      <c r="G1" s="281"/>
      <c r="H1" s="281"/>
      <c r="I1" s="281"/>
      <c r="J1" s="281"/>
    </row>
    <row r="2" spans="1:12" s="23" customFormat="1" ht="30" customHeight="1" x14ac:dyDescent="0.35">
      <c r="A2" s="282" t="s">
        <v>419</v>
      </c>
      <c r="B2" s="282" t="s">
        <v>272</v>
      </c>
      <c r="C2" s="282" t="s">
        <v>1</v>
      </c>
      <c r="D2" s="282" t="s">
        <v>2</v>
      </c>
      <c r="E2" s="282" t="s">
        <v>182</v>
      </c>
      <c r="F2" s="284" t="s">
        <v>533</v>
      </c>
      <c r="G2" s="285"/>
      <c r="H2" s="286"/>
      <c r="I2" s="280" t="s">
        <v>264</v>
      </c>
      <c r="J2" s="282" t="s">
        <v>183</v>
      </c>
      <c r="K2" s="59"/>
      <c r="L2" s="59"/>
    </row>
    <row r="3" spans="1:12" s="23" customFormat="1" ht="30" customHeight="1" thickBot="1" x14ac:dyDescent="0.4">
      <c r="A3" s="283"/>
      <c r="B3" s="283"/>
      <c r="C3" s="283"/>
      <c r="D3" s="283"/>
      <c r="E3" s="283"/>
      <c r="F3" s="53" t="s">
        <v>184</v>
      </c>
      <c r="G3" s="53" t="s">
        <v>185</v>
      </c>
      <c r="H3" s="51" t="s">
        <v>186</v>
      </c>
      <c r="I3" s="258"/>
      <c r="J3" s="283"/>
    </row>
    <row r="4" spans="1:12" ht="45" customHeight="1" x14ac:dyDescent="0.35">
      <c r="A4" s="279" t="s">
        <v>187</v>
      </c>
      <c r="B4" s="24" t="s">
        <v>418</v>
      </c>
      <c r="C4" s="24" t="s">
        <v>188</v>
      </c>
      <c r="D4" s="25" t="s">
        <v>302</v>
      </c>
      <c r="E4" s="26" t="s">
        <v>154</v>
      </c>
      <c r="F4" s="83">
        <v>132</v>
      </c>
      <c r="G4" s="83">
        <v>5403</v>
      </c>
      <c r="H4" s="101">
        <v>2.44</v>
      </c>
      <c r="I4" s="48">
        <v>2.98</v>
      </c>
      <c r="J4" s="62" t="str">
        <f>IF(E4="參考指標","",IF(E4="負向",IF(H4&gt;I4,"超過閾值",""),IF(E4="正向",IF(H4&lt;I4,"低於閾值",""))))</f>
        <v/>
      </c>
    </row>
    <row r="5" spans="1:12" ht="45" customHeight="1" x14ac:dyDescent="0.35">
      <c r="A5" s="279"/>
      <c r="B5" s="24" t="s">
        <v>189</v>
      </c>
      <c r="C5" s="24" t="s">
        <v>190</v>
      </c>
      <c r="D5" s="25" t="s">
        <v>270</v>
      </c>
      <c r="E5" s="26" t="s">
        <v>154</v>
      </c>
      <c r="F5" s="83">
        <v>9</v>
      </c>
      <c r="G5" s="83">
        <v>5271</v>
      </c>
      <c r="H5" s="101">
        <v>0.17</v>
      </c>
      <c r="I5" s="48">
        <v>1.39</v>
      </c>
      <c r="J5" s="35" t="str">
        <f t="shared" ref="J5:J45" si="0">IF(E5="參考指標","",IF(E5="負向",IF(H5&gt;I5,"超過閾值",""),IF(E5="正向",IF(H5&lt;I5,"低於閾值",""))))</f>
        <v/>
      </c>
    </row>
    <row r="6" spans="1:12" ht="45" customHeight="1" x14ac:dyDescent="0.35">
      <c r="A6" s="279"/>
      <c r="B6" s="24" t="s">
        <v>271</v>
      </c>
      <c r="C6" s="24" t="s">
        <v>336</v>
      </c>
      <c r="D6" s="25" t="s">
        <v>7</v>
      </c>
      <c r="E6" s="26" t="s">
        <v>154</v>
      </c>
      <c r="F6" s="54">
        <v>224</v>
      </c>
      <c r="G6" s="54">
        <v>5403</v>
      </c>
      <c r="H6" s="242">
        <v>4.1500000000000004</v>
      </c>
      <c r="I6" s="48">
        <v>4.4691516944593213</v>
      </c>
      <c r="J6" s="35" t="str">
        <f t="shared" si="0"/>
        <v/>
      </c>
    </row>
    <row r="7" spans="1:12" ht="45" customHeight="1" x14ac:dyDescent="0.35">
      <c r="A7" s="279" t="s">
        <v>191</v>
      </c>
      <c r="B7" s="24" t="s">
        <v>192</v>
      </c>
      <c r="C7" s="24" t="s">
        <v>193</v>
      </c>
      <c r="D7" s="25" t="s">
        <v>7</v>
      </c>
      <c r="E7" s="26" t="s">
        <v>154</v>
      </c>
      <c r="F7" s="83">
        <v>1</v>
      </c>
      <c r="G7" s="83">
        <v>317</v>
      </c>
      <c r="H7" s="101">
        <v>0.32</v>
      </c>
      <c r="I7" s="48">
        <v>0.94</v>
      </c>
      <c r="J7" s="35" t="str">
        <f t="shared" si="0"/>
        <v/>
      </c>
    </row>
    <row r="8" spans="1:12" ht="45" customHeight="1" x14ac:dyDescent="0.35">
      <c r="A8" s="279"/>
      <c r="B8" s="32" t="s">
        <v>423</v>
      </c>
      <c r="C8" s="32" t="s">
        <v>194</v>
      </c>
      <c r="D8" s="33" t="s">
        <v>7</v>
      </c>
      <c r="E8" s="31" t="s">
        <v>154</v>
      </c>
      <c r="F8" s="84">
        <v>47</v>
      </c>
      <c r="G8" s="84">
        <v>389</v>
      </c>
      <c r="H8" s="102">
        <v>12.08</v>
      </c>
      <c r="I8" s="50">
        <v>11.85</v>
      </c>
      <c r="J8" s="159" t="str">
        <f t="shared" si="0"/>
        <v>超過閾值</v>
      </c>
    </row>
    <row r="9" spans="1:12" ht="45" customHeight="1" x14ac:dyDescent="0.35">
      <c r="A9" s="279"/>
      <c r="B9" s="24" t="s">
        <v>195</v>
      </c>
      <c r="C9" s="24" t="s">
        <v>196</v>
      </c>
      <c r="D9" s="25" t="s">
        <v>9</v>
      </c>
      <c r="E9" s="26" t="s">
        <v>154</v>
      </c>
      <c r="F9" s="83">
        <v>3</v>
      </c>
      <c r="G9" s="83">
        <v>2869</v>
      </c>
      <c r="H9" s="101">
        <v>1.05</v>
      </c>
      <c r="I9" s="48">
        <v>2.4518695373060577</v>
      </c>
      <c r="J9" s="35" t="str">
        <f t="shared" si="0"/>
        <v/>
      </c>
    </row>
    <row r="10" spans="1:12" ht="45" customHeight="1" x14ac:dyDescent="0.35">
      <c r="A10" s="279"/>
      <c r="B10" s="24" t="s">
        <v>197</v>
      </c>
      <c r="C10" s="24" t="s">
        <v>198</v>
      </c>
      <c r="D10" s="25" t="s">
        <v>9</v>
      </c>
      <c r="E10" s="26" t="s">
        <v>154</v>
      </c>
      <c r="F10" s="83">
        <v>3</v>
      </c>
      <c r="G10" s="83">
        <v>2865</v>
      </c>
      <c r="H10" s="101">
        <v>1.05</v>
      </c>
      <c r="I10" s="48">
        <v>2.443292254300772</v>
      </c>
      <c r="J10" s="35" t="str">
        <f t="shared" si="0"/>
        <v/>
      </c>
    </row>
    <row r="11" spans="1:12" ht="45" customHeight="1" x14ac:dyDescent="0.35">
      <c r="A11" s="279"/>
      <c r="B11" s="24" t="s">
        <v>303</v>
      </c>
      <c r="C11" s="24" t="s">
        <v>304</v>
      </c>
      <c r="D11" s="25" t="s">
        <v>9</v>
      </c>
      <c r="E11" s="26" t="s">
        <v>154</v>
      </c>
      <c r="F11" s="83">
        <v>15</v>
      </c>
      <c r="G11" s="83">
        <v>3006</v>
      </c>
      <c r="H11" s="101">
        <v>4.99</v>
      </c>
      <c r="I11" s="49">
        <v>6.2096551756848779</v>
      </c>
      <c r="J11" s="35" t="str">
        <f t="shared" si="0"/>
        <v/>
      </c>
    </row>
    <row r="12" spans="1:12" ht="45" customHeight="1" x14ac:dyDescent="0.35">
      <c r="A12" s="279" t="s">
        <v>199</v>
      </c>
      <c r="B12" s="24" t="s">
        <v>200</v>
      </c>
      <c r="C12" s="24" t="s">
        <v>201</v>
      </c>
      <c r="D12" s="25" t="s">
        <v>7</v>
      </c>
      <c r="E12" s="26" t="s">
        <v>154</v>
      </c>
      <c r="F12" s="83">
        <v>0</v>
      </c>
      <c r="G12" s="83">
        <v>2941</v>
      </c>
      <c r="H12" s="101">
        <v>0</v>
      </c>
      <c r="I12" s="48">
        <v>0.12</v>
      </c>
      <c r="J12" s="35" t="str">
        <f t="shared" si="0"/>
        <v/>
      </c>
    </row>
    <row r="13" spans="1:12" ht="45" customHeight="1" x14ac:dyDescent="0.35">
      <c r="A13" s="279"/>
      <c r="B13" s="24" t="s">
        <v>202</v>
      </c>
      <c r="C13" s="24" t="s">
        <v>121</v>
      </c>
      <c r="D13" s="25" t="s">
        <v>7</v>
      </c>
      <c r="E13" s="26" t="s">
        <v>154</v>
      </c>
      <c r="F13" s="83">
        <v>13</v>
      </c>
      <c r="G13" s="83">
        <v>2941</v>
      </c>
      <c r="H13" s="101">
        <v>0.44</v>
      </c>
      <c r="I13" s="48">
        <v>0.75</v>
      </c>
      <c r="J13" s="62" t="str">
        <f t="shared" si="0"/>
        <v/>
      </c>
    </row>
    <row r="14" spans="1:12" ht="45" customHeight="1" x14ac:dyDescent="0.35">
      <c r="A14" s="279"/>
      <c r="B14" s="24" t="s">
        <v>203</v>
      </c>
      <c r="C14" s="24" t="s">
        <v>204</v>
      </c>
      <c r="D14" s="25" t="s">
        <v>7</v>
      </c>
      <c r="E14" s="26" t="s">
        <v>154</v>
      </c>
      <c r="F14" s="83">
        <v>2</v>
      </c>
      <c r="G14" s="83">
        <v>2941</v>
      </c>
      <c r="H14" s="101">
        <v>7.0000000000000007E-2</v>
      </c>
      <c r="I14" s="48">
        <v>0.34</v>
      </c>
      <c r="J14" s="35" t="str">
        <f t="shared" si="0"/>
        <v/>
      </c>
    </row>
    <row r="15" spans="1:12" ht="45" customHeight="1" x14ac:dyDescent="0.35">
      <c r="A15" s="279"/>
      <c r="B15" s="32" t="s">
        <v>205</v>
      </c>
      <c r="C15" s="32" t="s">
        <v>206</v>
      </c>
      <c r="D15" s="33" t="s">
        <v>7</v>
      </c>
      <c r="E15" s="31" t="s">
        <v>153</v>
      </c>
      <c r="F15" s="84">
        <v>1551</v>
      </c>
      <c r="G15" s="84">
        <v>1565</v>
      </c>
      <c r="H15" s="102">
        <v>99.11</v>
      </c>
      <c r="I15" s="50">
        <v>99.39</v>
      </c>
      <c r="J15" s="139" t="str">
        <f t="shared" si="0"/>
        <v>低於閾值</v>
      </c>
    </row>
    <row r="16" spans="1:12" ht="45" customHeight="1" x14ac:dyDescent="0.35">
      <c r="A16" s="279" t="s">
        <v>207</v>
      </c>
      <c r="B16" s="24" t="s">
        <v>208</v>
      </c>
      <c r="C16" s="24" t="s">
        <v>413</v>
      </c>
      <c r="D16" s="25" t="s">
        <v>7</v>
      </c>
      <c r="E16" s="26" t="s">
        <v>154</v>
      </c>
      <c r="F16" s="83">
        <v>22</v>
      </c>
      <c r="G16" s="83">
        <v>54</v>
      </c>
      <c r="H16" s="101">
        <v>40.74</v>
      </c>
      <c r="I16" s="48">
        <v>45.04</v>
      </c>
      <c r="J16" s="35" t="str">
        <f t="shared" si="0"/>
        <v/>
      </c>
    </row>
    <row r="17" spans="1:10" ht="45" customHeight="1" x14ac:dyDescent="0.35">
      <c r="A17" s="279"/>
      <c r="B17" s="24" t="s">
        <v>209</v>
      </c>
      <c r="C17" s="24" t="s">
        <v>210</v>
      </c>
      <c r="D17" s="25" t="s">
        <v>7</v>
      </c>
      <c r="E17" s="26" t="s">
        <v>154</v>
      </c>
      <c r="F17" s="83">
        <v>17</v>
      </c>
      <c r="G17" s="83">
        <v>49</v>
      </c>
      <c r="H17" s="101">
        <v>34.69</v>
      </c>
      <c r="I17" s="48">
        <v>36.96</v>
      </c>
      <c r="J17" s="35" t="str">
        <f t="shared" si="0"/>
        <v/>
      </c>
    </row>
    <row r="18" spans="1:10" ht="45" customHeight="1" x14ac:dyDescent="0.35">
      <c r="A18" s="279" t="s">
        <v>211</v>
      </c>
      <c r="B18" s="24" t="s">
        <v>212</v>
      </c>
      <c r="C18" s="24" t="s">
        <v>213</v>
      </c>
      <c r="D18" s="25" t="s">
        <v>7</v>
      </c>
      <c r="E18" s="26" t="s">
        <v>306</v>
      </c>
      <c r="F18" s="83">
        <v>1414</v>
      </c>
      <c r="G18" s="83">
        <v>7984</v>
      </c>
      <c r="H18" s="101">
        <v>17.71</v>
      </c>
      <c r="I18" s="48">
        <v>0</v>
      </c>
      <c r="J18" s="35" t="str">
        <f t="shared" si="0"/>
        <v/>
      </c>
    </row>
    <row r="19" spans="1:10" ht="45" customHeight="1" x14ac:dyDescent="0.35">
      <c r="A19" s="279"/>
      <c r="B19" s="24" t="s">
        <v>214</v>
      </c>
      <c r="C19" s="24" t="s">
        <v>497</v>
      </c>
      <c r="D19" s="25" t="s">
        <v>7</v>
      </c>
      <c r="E19" s="26" t="s">
        <v>154</v>
      </c>
      <c r="F19" s="83">
        <v>19</v>
      </c>
      <c r="G19" s="83">
        <v>1193</v>
      </c>
      <c r="H19" s="101">
        <v>1.59</v>
      </c>
      <c r="I19" s="48">
        <v>3.6595419437099137</v>
      </c>
      <c r="J19" s="35" t="str">
        <f t="shared" si="0"/>
        <v/>
      </c>
    </row>
    <row r="20" spans="1:10" ht="45" customHeight="1" x14ac:dyDescent="0.35">
      <c r="A20" s="279"/>
      <c r="B20" s="24" t="s">
        <v>215</v>
      </c>
      <c r="C20" s="24" t="s">
        <v>361</v>
      </c>
      <c r="D20" s="25" t="s">
        <v>7</v>
      </c>
      <c r="E20" s="26" t="s">
        <v>153</v>
      </c>
      <c r="F20" s="103">
        <v>1</v>
      </c>
      <c r="G20" s="103">
        <v>1</v>
      </c>
      <c r="H20" s="104">
        <v>100</v>
      </c>
      <c r="I20" s="48">
        <v>80</v>
      </c>
      <c r="J20" s="35"/>
    </row>
    <row r="21" spans="1:10" ht="45" customHeight="1" x14ac:dyDescent="0.35">
      <c r="A21" s="279" t="s">
        <v>216</v>
      </c>
      <c r="B21" s="24" t="s">
        <v>217</v>
      </c>
      <c r="C21" s="24" t="s">
        <v>218</v>
      </c>
      <c r="D21" s="25" t="s">
        <v>7</v>
      </c>
      <c r="E21" s="26" t="s">
        <v>153</v>
      </c>
      <c r="F21" s="83">
        <v>115</v>
      </c>
      <c r="G21" s="83">
        <v>331</v>
      </c>
      <c r="H21" s="101">
        <v>34.74</v>
      </c>
      <c r="I21" s="48">
        <v>32.921933570977522</v>
      </c>
      <c r="J21" s="62" t="str">
        <f t="shared" si="0"/>
        <v/>
      </c>
    </row>
    <row r="22" spans="1:10" ht="45" customHeight="1" x14ac:dyDescent="0.35">
      <c r="A22" s="279"/>
      <c r="B22" s="24" t="s">
        <v>219</v>
      </c>
      <c r="C22" s="24" t="s">
        <v>220</v>
      </c>
      <c r="D22" s="25" t="s">
        <v>7</v>
      </c>
      <c r="E22" s="26" t="s">
        <v>153</v>
      </c>
      <c r="F22" s="83">
        <v>10</v>
      </c>
      <c r="G22" s="83">
        <v>11</v>
      </c>
      <c r="H22" s="101">
        <v>90.91</v>
      </c>
      <c r="I22" s="48">
        <v>89.13</v>
      </c>
      <c r="J22" s="35" t="str">
        <f t="shared" si="0"/>
        <v/>
      </c>
    </row>
    <row r="23" spans="1:10" ht="45" customHeight="1" x14ac:dyDescent="0.35">
      <c r="A23" s="279"/>
      <c r="B23" s="32" t="s">
        <v>308</v>
      </c>
      <c r="C23" s="32" t="s">
        <v>309</v>
      </c>
      <c r="D23" s="33" t="s">
        <v>7</v>
      </c>
      <c r="E23" s="31" t="s">
        <v>153</v>
      </c>
      <c r="F23" s="84">
        <v>26</v>
      </c>
      <c r="G23" s="84">
        <v>28</v>
      </c>
      <c r="H23" s="102">
        <v>92.86</v>
      </c>
      <c r="I23" s="243">
        <v>97.55</v>
      </c>
      <c r="J23" s="139" t="str">
        <f t="shared" si="0"/>
        <v>低於閾值</v>
      </c>
    </row>
    <row r="24" spans="1:10" ht="45" customHeight="1" x14ac:dyDescent="0.35">
      <c r="A24" s="279"/>
      <c r="B24" s="32" t="s">
        <v>221</v>
      </c>
      <c r="C24" s="32" t="s">
        <v>222</v>
      </c>
      <c r="D24" s="33" t="s">
        <v>7</v>
      </c>
      <c r="E24" s="31" t="s">
        <v>154</v>
      </c>
      <c r="F24" s="84">
        <v>7</v>
      </c>
      <c r="G24" s="84">
        <v>36</v>
      </c>
      <c r="H24" s="102">
        <v>19.440000000000001</v>
      </c>
      <c r="I24" s="50">
        <v>7.82</v>
      </c>
      <c r="J24" s="139" t="str">
        <f t="shared" si="0"/>
        <v>超過閾值</v>
      </c>
    </row>
    <row r="25" spans="1:10" ht="45" customHeight="1" x14ac:dyDescent="0.35">
      <c r="A25" s="279"/>
      <c r="B25" s="24" t="s">
        <v>223</v>
      </c>
      <c r="C25" s="24" t="s">
        <v>126</v>
      </c>
      <c r="D25" s="25" t="s">
        <v>7</v>
      </c>
      <c r="E25" s="26" t="s">
        <v>153</v>
      </c>
      <c r="F25" s="83">
        <v>5</v>
      </c>
      <c r="G25" s="83">
        <v>57</v>
      </c>
      <c r="H25" s="101">
        <v>8.77</v>
      </c>
      <c r="I25" s="48">
        <v>6.97</v>
      </c>
      <c r="J25" s="35" t="str">
        <f t="shared" si="0"/>
        <v/>
      </c>
    </row>
    <row r="26" spans="1:10" ht="45" customHeight="1" x14ac:dyDescent="0.35">
      <c r="A26" s="279"/>
      <c r="B26" s="24" t="s">
        <v>224</v>
      </c>
      <c r="C26" s="24" t="s">
        <v>127</v>
      </c>
      <c r="D26" s="25" t="s">
        <v>7</v>
      </c>
      <c r="E26" s="26" t="s">
        <v>153</v>
      </c>
      <c r="F26" s="83">
        <v>4</v>
      </c>
      <c r="G26" s="83">
        <v>5</v>
      </c>
      <c r="H26" s="101">
        <v>80</v>
      </c>
      <c r="I26" s="48">
        <v>60.71</v>
      </c>
      <c r="J26" s="62" t="str">
        <f t="shared" si="0"/>
        <v/>
      </c>
    </row>
    <row r="27" spans="1:10" ht="45" customHeight="1" x14ac:dyDescent="0.35">
      <c r="A27" s="279"/>
      <c r="B27" s="24" t="s">
        <v>225</v>
      </c>
      <c r="C27" s="24" t="s">
        <v>226</v>
      </c>
      <c r="D27" s="25" t="s">
        <v>7</v>
      </c>
      <c r="E27" s="26" t="s">
        <v>154</v>
      </c>
      <c r="F27" s="83">
        <v>0</v>
      </c>
      <c r="G27" s="83">
        <v>5</v>
      </c>
      <c r="H27" s="101">
        <v>0</v>
      </c>
      <c r="I27" s="48">
        <v>3.13</v>
      </c>
      <c r="J27" s="35" t="str">
        <f t="shared" si="0"/>
        <v/>
      </c>
    </row>
    <row r="28" spans="1:10" ht="45" customHeight="1" x14ac:dyDescent="0.35">
      <c r="A28" s="279"/>
      <c r="B28" s="24" t="s">
        <v>227</v>
      </c>
      <c r="C28" s="24" t="s">
        <v>228</v>
      </c>
      <c r="D28" s="25" t="s">
        <v>7</v>
      </c>
      <c r="E28" s="26" t="s">
        <v>153</v>
      </c>
      <c r="F28" s="103">
        <v>1</v>
      </c>
      <c r="G28" s="103">
        <v>1</v>
      </c>
      <c r="H28" s="104">
        <v>100</v>
      </c>
      <c r="I28" s="48">
        <v>92.52</v>
      </c>
      <c r="J28" s="62" t="str">
        <f t="shared" si="0"/>
        <v/>
      </c>
    </row>
    <row r="29" spans="1:10" ht="45" customHeight="1" x14ac:dyDescent="0.35">
      <c r="A29" s="279"/>
      <c r="B29" s="24" t="s">
        <v>229</v>
      </c>
      <c r="C29" s="24" t="s">
        <v>230</v>
      </c>
      <c r="D29" s="25" t="s">
        <v>231</v>
      </c>
      <c r="E29" s="26" t="s">
        <v>155</v>
      </c>
      <c r="F29" s="103" t="s">
        <v>522</v>
      </c>
      <c r="G29" s="103" t="s">
        <v>522</v>
      </c>
      <c r="H29" s="101">
        <v>77</v>
      </c>
      <c r="I29" s="60">
        <v>59.882012569663885</v>
      </c>
      <c r="J29" s="35" t="str">
        <f t="shared" si="0"/>
        <v/>
      </c>
    </row>
    <row r="30" spans="1:10" ht="45" customHeight="1" x14ac:dyDescent="0.35">
      <c r="A30" s="61" t="s">
        <v>232</v>
      </c>
      <c r="B30" s="24" t="s">
        <v>233</v>
      </c>
      <c r="C30" s="24" t="s">
        <v>346</v>
      </c>
      <c r="D30" s="25" t="s">
        <v>9</v>
      </c>
      <c r="E30" s="26" t="s">
        <v>154</v>
      </c>
      <c r="F30" s="83">
        <v>78</v>
      </c>
      <c r="G30" s="83">
        <v>35276</v>
      </c>
      <c r="H30" s="101">
        <v>2.21</v>
      </c>
      <c r="I30" s="48">
        <v>2.6673127797390386</v>
      </c>
      <c r="J30" s="35" t="str">
        <f t="shared" si="0"/>
        <v/>
      </c>
    </row>
    <row r="31" spans="1:10" ht="45" customHeight="1" x14ac:dyDescent="0.35">
      <c r="A31" s="28" t="s">
        <v>234</v>
      </c>
      <c r="B31" s="24" t="s">
        <v>235</v>
      </c>
      <c r="C31" s="24" t="s">
        <v>236</v>
      </c>
      <c r="D31" s="25" t="s">
        <v>231</v>
      </c>
      <c r="E31" s="26" t="s">
        <v>155</v>
      </c>
      <c r="F31" s="103" t="s">
        <v>522</v>
      </c>
      <c r="G31" s="103" t="s">
        <v>522</v>
      </c>
      <c r="H31" s="101">
        <v>62</v>
      </c>
      <c r="I31" s="48">
        <v>0</v>
      </c>
      <c r="J31" s="35" t="str">
        <f t="shared" si="0"/>
        <v/>
      </c>
    </row>
    <row r="32" spans="1:10" ht="45" customHeight="1" x14ac:dyDescent="0.35">
      <c r="A32" s="279" t="s">
        <v>237</v>
      </c>
      <c r="B32" s="24" t="s">
        <v>238</v>
      </c>
      <c r="C32" s="24" t="s">
        <v>239</v>
      </c>
      <c r="D32" s="25" t="s">
        <v>9</v>
      </c>
      <c r="E32" s="26" t="s">
        <v>154</v>
      </c>
      <c r="F32" s="83">
        <v>0</v>
      </c>
      <c r="G32" s="83">
        <v>412</v>
      </c>
      <c r="H32" s="101">
        <v>0</v>
      </c>
      <c r="I32" s="48">
        <v>5.09</v>
      </c>
      <c r="J32" s="62" t="str">
        <f t="shared" si="0"/>
        <v/>
      </c>
    </row>
    <row r="33" spans="1:10" ht="45" customHeight="1" x14ac:dyDescent="0.35">
      <c r="A33" s="279"/>
      <c r="B33" s="24" t="s">
        <v>240</v>
      </c>
      <c r="C33" s="24" t="s">
        <v>241</v>
      </c>
      <c r="D33" s="25" t="s">
        <v>9</v>
      </c>
      <c r="E33" s="26" t="s">
        <v>154</v>
      </c>
      <c r="F33" s="83">
        <v>0</v>
      </c>
      <c r="G33" s="83">
        <v>604</v>
      </c>
      <c r="H33" s="101">
        <v>0</v>
      </c>
      <c r="I33" s="48">
        <v>0.81</v>
      </c>
      <c r="J33" s="35" t="str">
        <f t="shared" si="0"/>
        <v/>
      </c>
    </row>
    <row r="34" spans="1:10" ht="45" customHeight="1" x14ac:dyDescent="0.35">
      <c r="A34" s="279"/>
      <c r="B34" s="24" t="s">
        <v>242</v>
      </c>
      <c r="C34" s="24" t="s">
        <v>243</v>
      </c>
      <c r="D34" s="25" t="s">
        <v>9</v>
      </c>
      <c r="E34" s="26" t="s">
        <v>154</v>
      </c>
      <c r="F34" s="83">
        <v>0</v>
      </c>
      <c r="G34" s="83">
        <v>624</v>
      </c>
      <c r="H34" s="101">
        <v>0</v>
      </c>
      <c r="I34" s="48">
        <v>5.66</v>
      </c>
      <c r="J34" s="35" t="str">
        <f t="shared" si="0"/>
        <v/>
      </c>
    </row>
    <row r="35" spans="1:10" ht="45" customHeight="1" x14ac:dyDescent="0.35">
      <c r="A35" s="279"/>
      <c r="B35" s="32" t="s">
        <v>244</v>
      </c>
      <c r="C35" s="32" t="s">
        <v>108</v>
      </c>
      <c r="D35" s="33" t="s">
        <v>7</v>
      </c>
      <c r="E35" s="31" t="s">
        <v>153</v>
      </c>
      <c r="F35" s="84">
        <v>15</v>
      </c>
      <c r="G35" s="84">
        <v>34</v>
      </c>
      <c r="H35" s="102">
        <v>44.12</v>
      </c>
      <c r="I35" s="50">
        <v>61.37</v>
      </c>
      <c r="J35" s="139" t="str">
        <f t="shared" si="0"/>
        <v>低於閾值</v>
      </c>
    </row>
    <row r="36" spans="1:10" ht="45" customHeight="1" x14ac:dyDescent="0.35">
      <c r="A36" s="279"/>
      <c r="B36" s="24" t="s">
        <v>245</v>
      </c>
      <c r="C36" s="24" t="s">
        <v>110</v>
      </c>
      <c r="D36" s="25" t="s">
        <v>7</v>
      </c>
      <c r="E36" s="26" t="s">
        <v>153</v>
      </c>
      <c r="F36" s="83">
        <v>28</v>
      </c>
      <c r="G36" s="83">
        <v>56</v>
      </c>
      <c r="H36" s="101">
        <v>50</v>
      </c>
      <c r="I36" s="48">
        <v>42.920025639737631</v>
      </c>
      <c r="J36" s="35" t="str">
        <f t="shared" si="0"/>
        <v/>
      </c>
    </row>
    <row r="37" spans="1:10" ht="45" customHeight="1" x14ac:dyDescent="0.35">
      <c r="A37" s="279"/>
      <c r="B37" s="24" t="s">
        <v>246</v>
      </c>
      <c r="C37" s="24" t="s">
        <v>301</v>
      </c>
      <c r="D37" s="25" t="s">
        <v>9</v>
      </c>
      <c r="E37" s="26" t="s">
        <v>154</v>
      </c>
      <c r="F37" s="83">
        <v>0</v>
      </c>
      <c r="G37" s="83">
        <v>86</v>
      </c>
      <c r="H37" s="101">
        <v>0</v>
      </c>
      <c r="I37" s="48">
        <v>21.439056004451345</v>
      </c>
      <c r="J37" s="35" t="str">
        <f t="shared" si="0"/>
        <v/>
      </c>
    </row>
    <row r="38" spans="1:10" ht="45" customHeight="1" x14ac:dyDescent="0.35">
      <c r="A38" s="279"/>
      <c r="B38" s="24" t="s">
        <v>247</v>
      </c>
      <c r="C38" s="24" t="s">
        <v>426</v>
      </c>
      <c r="D38" s="25" t="s">
        <v>9</v>
      </c>
      <c r="E38" s="26" t="s">
        <v>154</v>
      </c>
      <c r="F38" s="83">
        <v>0</v>
      </c>
      <c r="G38" s="83">
        <v>2094</v>
      </c>
      <c r="H38" s="101">
        <v>0</v>
      </c>
      <c r="I38" s="48">
        <v>0.35258682414447773</v>
      </c>
      <c r="J38" s="35" t="str">
        <f t="shared" si="0"/>
        <v/>
      </c>
    </row>
    <row r="39" spans="1:10" ht="45" customHeight="1" x14ac:dyDescent="0.35">
      <c r="A39" s="279"/>
      <c r="B39" s="24" t="s">
        <v>248</v>
      </c>
      <c r="C39" s="24" t="s">
        <v>334</v>
      </c>
      <c r="D39" s="25" t="s">
        <v>9</v>
      </c>
      <c r="E39" s="26" t="s">
        <v>154</v>
      </c>
      <c r="F39" s="83">
        <v>1</v>
      </c>
      <c r="G39" s="83">
        <v>787</v>
      </c>
      <c r="H39" s="101">
        <v>1.27</v>
      </c>
      <c r="I39" s="48">
        <v>4.0396744709102599</v>
      </c>
      <c r="J39" s="62" t="str">
        <f t="shared" si="0"/>
        <v/>
      </c>
    </row>
    <row r="40" spans="1:10" ht="45" customHeight="1" x14ac:dyDescent="0.35">
      <c r="A40" s="279"/>
      <c r="B40" s="24" t="s">
        <v>249</v>
      </c>
      <c r="C40" s="24" t="s">
        <v>429</v>
      </c>
      <c r="D40" s="25" t="s">
        <v>7</v>
      </c>
      <c r="E40" s="26" t="s">
        <v>153</v>
      </c>
      <c r="F40" s="103">
        <v>1</v>
      </c>
      <c r="G40" s="103">
        <v>3</v>
      </c>
      <c r="H40" s="104">
        <v>33.33</v>
      </c>
      <c r="I40" s="48">
        <v>8</v>
      </c>
      <c r="J40" s="35" t="str">
        <f t="shared" si="0"/>
        <v/>
      </c>
    </row>
    <row r="41" spans="1:10" ht="45" customHeight="1" x14ac:dyDescent="0.35">
      <c r="A41" s="279" t="s">
        <v>250</v>
      </c>
      <c r="B41" s="24" t="s">
        <v>251</v>
      </c>
      <c r="C41" s="24" t="s">
        <v>252</v>
      </c>
      <c r="D41" s="25" t="s">
        <v>231</v>
      </c>
      <c r="E41" s="26" t="s">
        <v>155</v>
      </c>
      <c r="F41" s="103" t="s">
        <v>522</v>
      </c>
      <c r="G41" s="103" t="s">
        <v>522</v>
      </c>
      <c r="H41" s="101">
        <v>110</v>
      </c>
      <c r="I41" s="48">
        <v>0</v>
      </c>
      <c r="J41" s="35" t="str">
        <f t="shared" si="0"/>
        <v/>
      </c>
    </row>
    <row r="42" spans="1:10" ht="45" customHeight="1" x14ac:dyDescent="0.35">
      <c r="A42" s="279"/>
      <c r="B42" s="24" t="s">
        <v>253</v>
      </c>
      <c r="C42" s="24" t="s">
        <v>254</v>
      </c>
      <c r="D42" s="25" t="s">
        <v>231</v>
      </c>
      <c r="E42" s="26" t="s">
        <v>154</v>
      </c>
      <c r="F42" s="103" t="s">
        <v>522</v>
      </c>
      <c r="G42" s="103" t="s">
        <v>522</v>
      </c>
      <c r="H42" s="101">
        <v>2</v>
      </c>
      <c r="I42" s="160">
        <v>2.9307461776740231</v>
      </c>
      <c r="J42" s="35" t="str">
        <f t="shared" si="0"/>
        <v/>
      </c>
    </row>
    <row r="43" spans="1:10" ht="45" customHeight="1" x14ac:dyDescent="0.35">
      <c r="A43" s="279"/>
      <c r="B43" s="24" t="s">
        <v>255</v>
      </c>
      <c r="C43" s="24" t="s">
        <v>256</v>
      </c>
      <c r="D43" s="25" t="s">
        <v>231</v>
      </c>
      <c r="E43" s="26" t="s">
        <v>154</v>
      </c>
      <c r="F43" s="103" t="s">
        <v>522</v>
      </c>
      <c r="G43" s="103" t="s">
        <v>522</v>
      </c>
      <c r="H43" s="101">
        <v>14</v>
      </c>
      <c r="I43" s="160">
        <v>17.435658600375959</v>
      </c>
      <c r="J43" s="35" t="str">
        <f t="shared" si="0"/>
        <v/>
      </c>
    </row>
    <row r="44" spans="1:10" ht="45" customHeight="1" x14ac:dyDescent="0.35">
      <c r="A44" s="279"/>
      <c r="B44" s="24" t="s">
        <v>257</v>
      </c>
      <c r="C44" s="24" t="s">
        <v>258</v>
      </c>
      <c r="D44" s="25" t="s">
        <v>7</v>
      </c>
      <c r="E44" s="26" t="s">
        <v>153</v>
      </c>
      <c r="F44" s="83">
        <v>1250</v>
      </c>
      <c r="G44" s="83">
        <v>1250</v>
      </c>
      <c r="H44" s="101">
        <v>100</v>
      </c>
      <c r="I44" s="48" t="s">
        <v>265</v>
      </c>
      <c r="J44" s="35"/>
    </row>
    <row r="45" spans="1:10" ht="45" customHeight="1" x14ac:dyDescent="0.35">
      <c r="A45" s="279"/>
      <c r="B45" s="24" t="s">
        <v>259</v>
      </c>
      <c r="C45" s="24" t="s">
        <v>260</v>
      </c>
      <c r="D45" s="25" t="s">
        <v>231</v>
      </c>
      <c r="E45" s="26" t="s">
        <v>326</v>
      </c>
      <c r="F45" s="103">
        <v>2462.81</v>
      </c>
      <c r="G45" s="103">
        <v>347</v>
      </c>
      <c r="H45" s="101">
        <v>7.1</v>
      </c>
      <c r="I45" s="54">
        <v>9</v>
      </c>
      <c r="J45" s="35" t="str">
        <f t="shared" si="0"/>
        <v/>
      </c>
    </row>
    <row r="46" spans="1:10" x14ac:dyDescent="0.35">
      <c r="A46" s="244" t="s">
        <v>528</v>
      </c>
    </row>
  </sheetData>
  <sheetProtection autoFilter="0"/>
  <autoFilter ref="A3:J45"/>
  <mergeCells count="17">
    <mergeCell ref="A1:J1"/>
    <mergeCell ref="A16:A17"/>
    <mergeCell ref="A2:A3"/>
    <mergeCell ref="B2:B3"/>
    <mergeCell ref="C2:C3"/>
    <mergeCell ref="D2:D3"/>
    <mergeCell ref="J2:J3"/>
    <mergeCell ref="A4:A6"/>
    <mergeCell ref="A7:A11"/>
    <mergeCell ref="A12:A15"/>
    <mergeCell ref="E2:E3"/>
    <mergeCell ref="F2:H2"/>
    <mergeCell ref="A18:A20"/>
    <mergeCell ref="A21:A29"/>
    <mergeCell ref="A32:A40"/>
    <mergeCell ref="A41:A45"/>
    <mergeCell ref="I2:I3"/>
  </mergeCells>
  <phoneticPr fontId="1" type="noConversion"/>
  <printOptions horizontalCentered="1"/>
  <pageMargins left="0.23622047244094491" right="0.23622047244094491" top="0.43307086614173229" bottom="0.15748031496062992" header="0.39370078740157483" footer="0.11811023622047245"/>
  <pageSetup paperSize="9" scale="84" fitToHeight="0" orientation="landscape" r:id="rId1"/>
  <headerFooter alignWithMargins="0">
    <oddFooter>&amp;C&amp;"微軟正黑體,標準"&amp;11第 &amp;P 頁，共 &amp;N 頁</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已命名的範圍</vt:lpstr>
      </vt:variant>
      <vt:variant>
        <vt:i4>3</vt:i4>
      </vt:variant>
    </vt:vector>
  </HeadingPairs>
  <TitlesOfParts>
    <vt:vector size="6" baseType="lpstr">
      <vt:lpstr>TCPI_綜合照護</vt:lpstr>
      <vt:lpstr>TCPI_急性精神</vt:lpstr>
      <vt:lpstr>QIP</vt:lpstr>
      <vt:lpstr>QIP!Print_Titles</vt:lpstr>
      <vt:lpstr>TCPI_急性精神!Print_Titles</vt:lpstr>
      <vt:lpstr>TCPI_綜合照護!Print_Titles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劉沛</cp:lastModifiedBy>
  <cp:lastPrinted>2026-04-30T07:34:19Z</cp:lastPrinted>
  <dcterms:created xsi:type="dcterms:W3CDTF">2017-12-04T08:13:42Z</dcterms:created>
  <dcterms:modified xsi:type="dcterms:W3CDTF">2026-06-01T05:47:26Z</dcterms:modified>
</cp:coreProperties>
</file>