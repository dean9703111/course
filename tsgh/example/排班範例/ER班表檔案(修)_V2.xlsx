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lindingyuan/Documents/external_project/agent-skills/course/tsgh/example/排班/"/>
    </mc:Choice>
  </mc:AlternateContent>
  <xr:revisionPtr revIDLastSave="0" documentId="13_ncr:1_{DFD0FE83-E390-BF47-B912-BD422701C9E4}" xr6:coauthVersionLast="47" xr6:coauthVersionMax="47" xr10:uidLastSave="{00000000-0000-0000-0000-000000000000}"/>
  <bookViews>
    <workbookView xWindow="160" yWindow="760" windowWidth="51200" windowHeight="20240" xr2:uid="{00000000-000D-0000-FFFF-FFFF00000000}"/>
  </bookViews>
  <sheets>
    <sheet name="工作表1 (2)" sheetId="2" r:id="rId1"/>
  </sheets>
  <definedNames>
    <definedName name="_xlnm._FilterDatabase" localSheetId="0" hidden="1">'工作表1 (2)'!$A$3:$EZ$3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2" l="1"/>
  <c r="D92" i="2"/>
  <c r="D91" i="2"/>
  <c r="D90" i="2"/>
  <c r="D89" i="2"/>
  <c r="D88" i="2"/>
  <c r="D87" i="2"/>
  <c r="D85" i="2"/>
  <c r="D84" i="2" l="1"/>
  <c r="D83" i="2"/>
  <c r="D82" i="2"/>
  <c r="D81" i="2"/>
  <c r="D80" i="2"/>
  <c r="D79" i="2"/>
  <c r="D95" i="2" l="1"/>
  <c r="BE6" i="2"/>
  <c r="E100" i="2" l="1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D100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D86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E79" i="2"/>
  <c r="F79" i="2"/>
  <c r="G79" i="2"/>
  <c r="H79" i="2"/>
  <c r="I79" i="2"/>
  <c r="J79" i="2"/>
  <c r="K79" i="2"/>
  <c r="K103" i="2" s="1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U104" i="2" s="1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D97" i="2" l="1"/>
  <c r="D96" i="2"/>
  <c r="D102" i="2" l="1"/>
  <c r="D101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BD80" i="2"/>
  <c r="BD79" i="2"/>
  <c r="BD78" i="2"/>
  <c r="BD77" i="2"/>
  <c r="CJ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S63" i="2"/>
  <c r="BR63" i="2"/>
  <c r="BM63" i="2"/>
  <c r="BL63" i="2"/>
  <c r="BJ63" i="2"/>
  <c r="BI63" i="2"/>
  <c r="BG63" i="2"/>
  <c r="BF63" i="2"/>
  <c r="BE63" i="2"/>
  <c r="CJ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S69" i="2"/>
  <c r="BR69" i="2"/>
  <c r="BM69" i="2"/>
  <c r="BL69" i="2"/>
  <c r="BJ69" i="2"/>
  <c r="BI69" i="2"/>
  <c r="BG69" i="2"/>
  <c r="BF69" i="2"/>
  <c r="BE69" i="2"/>
  <c r="CJ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S76" i="2"/>
  <c r="BR76" i="2"/>
  <c r="BM76" i="2"/>
  <c r="BL76" i="2"/>
  <c r="BJ76" i="2"/>
  <c r="BI76" i="2"/>
  <c r="BG76" i="2"/>
  <c r="BF76" i="2"/>
  <c r="BE76" i="2"/>
  <c r="CJ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S66" i="2"/>
  <c r="BR66" i="2"/>
  <c r="BM66" i="2"/>
  <c r="BL66" i="2"/>
  <c r="BJ66" i="2"/>
  <c r="BI66" i="2"/>
  <c r="BG66" i="2"/>
  <c r="BF66" i="2"/>
  <c r="BE66" i="2"/>
  <c r="CJ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S74" i="2"/>
  <c r="BR74" i="2"/>
  <c r="BM74" i="2"/>
  <c r="BL74" i="2"/>
  <c r="BJ74" i="2"/>
  <c r="BI74" i="2"/>
  <c r="BG74" i="2"/>
  <c r="BF74" i="2"/>
  <c r="BE74" i="2"/>
  <c r="CJ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S72" i="2"/>
  <c r="BR72" i="2"/>
  <c r="BM72" i="2"/>
  <c r="BL72" i="2"/>
  <c r="BJ72" i="2"/>
  <c r="BI72" i="2"/>
  <c r="BG72" i="2"/>
  <c r="BF72" i="2"/>
  <c r="BE72" i="2"/>
  <c r="CJ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S71" i="2"/>
  <c r="BR71" i="2"/>
  <c r="BM71" i="2"/>
  <c r="BL71" i="2"/>
  <c r="BJ71" i="2"/>
  <c r="BI71" i="2"/>
  <c r="BG71" i="2"/>
  <c r="BF71" i="2"/>
  <c r="BE71" i="2"/>
  <c r="CJ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S73" i="2"/>
  <c r="BR73" i="2"/>
  <c r="BM73" i="2"/>
  <c r="BL73" i="2"/>
  <c r="BJ73" i="2"/>
  <c r="BI73" i="2"/>
  <c r="BG73" i="2"/>
  <c r="BF73" i="2"/>
  <c r="BE73" i="2"/>
  <c r="CJ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S68" i="2"/>
  <c r="BR68" i="2"/>
  <c r="BM68" i="2"/>
  <c r="BL68" i="2"/>
  <c r="BJ68" i="2"/>
  <c r="BI68" i="2"/>
  <c r="BG68" i="2"/>
  <c r="BF68" i="2"/>
  <c r="BE68" i="2"/>
  <c r="CJ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S75" i="2"/>
  <c r="BR75" i="2"/>
  <c r="BM75" i="2"/>
  <c r="BL75" i="2"/>
  <c r="BJ75" i="2"/>
  <c r="BI75" i="2"/>
  <c r="BG75" i="2"/>
  <c r="BF75" i="2"/>
  <c r="BE75" i="2"/>
  <c r="CJ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S67" i="2"/>
  <c r="BR67" i="2"/>
  <c r="BM67" i="2"/>
  <c r="BL67" i="2"/>
  <c r="BJ67" i="2"/>
  <c r="BI67" i="2"/>
  <c r="BG67" i="2"/>
  <c r="BF67" i="2"/>
  <c r="BE67" i="2"/>
  <c r="CJ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S65" i="2"/>
  <c r="BR65" i="2"/>
  <c r="BM65" i="2"/>
  <c r="BL65" i="2"/>
  <c r="BJ65" i="2"/>
  <c r="BI65" i="2"/>
  <c r="BG65" i="2"/>
  <c r="BF65" i="2"/>
  <c r="BE65" i="2"/>
  <c r="CJ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S70" i="2"/>
  <c r="BR70" i="2"/>
  <c r="BM70" i="2"/>
  <c r="BL70" i="2"/>
  <c r="BJ70" i="2"/>
  <c r="BI70" i="2"/>
  <c r="BG70" i="2"/>
  <c r="BF70" i="2"/>
  <c r="BE70" i="2"/>
  <c r="CJ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S64" i="2"/>
  <c r="BR64" i="2"/>
  <c r="BM64" i="2"/>
  <c r="BL64" i="2"/>
  <c r="BJ64" i="2"/>
  <c r="BI64" i="2"/>
  <c r="BG64" i="2"/>
  <c r="BF64" i="2"/>
  <c r="BE64" i="2"/>
  <c r="CJ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S62" i="2"/>
  <c r="BR62" i="2"/>
  <c r="BM62" i="2"/>
  <c r="BL62" i="2"/>
  <c r="BJ62" i="2"/>
  <c r="BI62" i="2"/>
  <c r="BG62" i="2"/>
  <c r="BF62" i="2"/>
  <c r="BE62" i="2"/>
  <c r="CJ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S51" i="2"/>
  <c r="BR51" i="2"/>
  <c r="BM51" i="2"/>
  <c r="BL51" i="2"/>
  <c r="BJ51" i="2"/>
  <c r="BI51" i="2"/>
  <c r="BG51" i="2"/>
  <c r="BF51" i="2"/>
  <c r="BE51" i="2"/>
  <c r="CJ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S60" i="2"/>
  <c r="BR60" i="2"/>
  <c r="BM60" i="2"/>
  <c r="BL60" i="2"/>
  <c r="BJ60" i="2"/>
  <c r="BI60" i="2"/>
  <c r="BG60" i="2"/>
  <c r="BF60" i="2"/>
  <c r="BE60" i="2"/>
  <c r="CJ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S48" i="2"/>
  <c r="BR48" i="2"/>
  <c r="BM48" i="2"/>
  <c r="BL48" i="2"/>
  <c r="BJ48" i="2"/>
  <c r="BI48" i="2"/>
  <c r="BG48" i="2"/>
  <c r="BF48" i="2"/>
  <c r="BE48" i="2"/>
  <c r="CJ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S58" i="2"/>
  <c r="BR58" i="2"/>
  <c r="BM58" i="2"/>
  <c r="BL58" i="2"/>
  <c r="BJ58" i="2"/>
  <c r="BI58" i="2"/>
  <c r="BG58" i="2"/>
  <c r="BF58" i="2"/>
  <c r="BE58" i="2"/>
  <c r="CJ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S57" i="2"/>
  <c r="BR57" i="2"/>
  <c r="BM57" i="2"/>
  <c r="BL57" i="2"/>
  <c r="BJ57" i="2"/>
  <c r="BI57" i="2"/>
  <c r="BG57" i="2"/>
  <c r="BF57" i="2"/>
  <c r="BE57" i="2"/>
  <c r="CJ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S56" i="2"/>
  <c r="BR56" i="2"/>
  <c r="BM56" i="2"/>
  <c r="BL56" i="2"/>
  <c r="BJ56" i="2"/>
  <c r="BI56" i="2"/>
  <c r="BG56" i="2"/>
  <c r="BF56" i="2"/>
  <c r="BE56" i="2"/>
  <c r="CJ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S54" i="2"/>
  <c r="BR54" i="2"/>
  <c r="BM54" i="2"/>
  <c r="BL54" i="2"/>
  <c r="BJ54" i="2"/>
  <c r="BI54" i="2"/>
  <c r="BG54" i="2"/>
  <c r="BF54" i="2"/>
  <c r="BE54" i="2"/>
  <c r="CJ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S61" i="2"/>
  <c r="BR61" i="2"/>
  <c r="BM61" i="2"/>
  <c r="BL61" i="2"/>
  <c r="BJ61" i="2"/>
  <c r="BI61" i="2"/>
  <c r="BG61" i="2"/>
  <c r="BF61" i="2"/>
  <c r="BE61" i="2"/>
  <c r="CJ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S59" i="2"/>
  <c r="BR59" i="2"/>
  <c r="BM59" i="2"/>
  <c r="BL59" i="2"/>
  <c r="BJ59" i="2"/>
  <c r="BI59" i="2"/>
  <c r="BG59" i="2"/>
  <c r="BF59" i="2"/>
  <c r="BE59" i="2"/>
  <c r="CJ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S53" i="2"/>
  <c r="BR53" i="2"/>
  <c r="BM53" i="2"/>
  <c r="BL53" i="2"/>
  <c r="BJ53" i="2"/>
  <c r="BI53" i="2"/>
  <c r="BG53" i="2"/>
  <c r="BF53" i="2"/>
  <c r="BE53" i="2"/>
  <c r="CJ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S52" i="2"/>
  <c r="BR52" i="2"/>
  <c r="BM52" i="2"/>
  <c r="BL52" i="2"/>
  <c r="BJ52" i="2"/>
  <c r="BI52" i="2"/>
  <c r="BG52" i="2"/>
  <c r="BF52" i="2"/>
  <c r="BE52" i="2"/>
  <c r="CJ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S55" i="2"/>
  <c r="BR55" i="2"/>
  <c r="BM55" i="2"/>
  <c r="BL55" i="2"/>
  <c r="BJ55" i="2"/>
  <c r="BI55" i="2"/>
  <c r="BG55" i="2"/>
  <c r="BF55" i="2"/>
  <c r="BE55" i="2"/>
  <c r="CJ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S50" i="2"/>
  <c r="BR50" i="2"/>
  <c r="BM50" i="2"/>
  <c r="BL50" i="2"/>
  <c r="BJ50" i="2"/>
  <c r="BI50" i="2"/>
  <c r="BG50" i="2"/>
  <c r="BF50" i="2"/>
  <c r="BE50" i="2"/>
  <c r="CJ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S49" i="2"/>
  <c r="BR49" i="2"/>
  <c r="BM49" i="2"/>
  <c r="BL49" i="2"/>
  <c r="BJ49" i="2"/>
  <c r="BI49" i="2"/>
  <c r="BG49" i="2"/>
  <c r="BF49" i="2"/>
  <c r="BE49" i="2"/>
  <c r="CJ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S47" i="2"/>
  <c r="BR47" i="2"/>
  <c r="BM47" i="2"/>
  <c r="BL47" i="2"/>
  <c r="BJ47" i="2"/>
  <c r="BI47" i="2"/>
  <c r="BG47" i="2"/>
  <c r="BF47" i="2"/>
  <c r="BE47" i="2"/>
  <c r="CJ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S45" i="2"/>
  <c r="BR45" i="2"/>
  <c r="BM45" i="2"/>
  <c r="BL45" i="2"/>
  <c r="BJ45" i="2"/>
  <c r="BI45" i="2"/>
  <c r="BG45" i="2"/>
  <c r="BF45" i="2"/>
  <c r="BE45" i="2"/>
  <c r="CJ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S40" i="2"/>
  <c r="BR40" i="2"/>
  <c r="BM40" i="2"/>
  <c r="BL40" i="2"/>
  <c r="BJ40" i="2"/>
  <c r="BI40" i="2"/>
  <c r="BG40" i="2"/>
  <c r="BF40" i="2"/>
  <c r="BE40" i="2"/>
  <c r="CJ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S44" i="2"/>
  <c r="BR44" i="2"/>
  <c r="BM44" i="2"/>
  <c r="BL44" i="2"/>
  <c r="BJ44" i="2"/>
  <c r="BI44" i="2"/>
  <c r="BG44" i="2"/>
  <c r="BF44" i="2"/>
  <c r="BE44" i="2"/>
  <c r="CJ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S43" i="2"/>
  <c r="BR43" i="2"/>
  <c r="BM43" i="2"/>
  <c r="BL43" i="2"/>
  <c r="BJ43" i="2"/>
  <c r="BI43" i="2"/>
  <c r="BG43" i="2"/>
  <c r="BF43" i="2"/>
  <c r="BE43" i="2"/>
  <c r="CJ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S41" i="2"/>
  <c r="BR41" i="2"/>
  <c r="BM41" i="2"/>
  <c r="BL41" i="2"/>
  <c r="BJ41" i="2"/>
  <c r="BI41" i="2"/>
  <c r="BG41" i="2"/>
  <c r="BF41" i="2"/>
  <c r="BE41" i="2"/>
  <c r="CJ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S46" i="2"/>
  <c r="BR46" i="2"/>
  <c r="BM46" i="2"/>
  <c r="BL46" i="2"/>
  <c r="BJ46" i="2"/>
  <c r="BI46" i="2"/>
  <c r="BG46" i="2"/>
  <c r="BF46" i="2"/>
  <c r="BE46" i="2"/>
  <c r="CJ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S39" i="2"/>
  <c r="BR39" i="2"/>
  <c r="BM39" i="2"/>
  <c r="BL39" i="2"/>
  <c r="BJ39" i="2"/>
  <c r="BI39" i="2"/>
  <c r="BG39" i="2"/>
  <c r="BF39" i="2"/>
  <c r="BE39" i="2"/>
  <c r="CJ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S38" i="2"/>
  <c r="BR38" i="2"/>
  <c r="BM38" i="2"/>
  <c r="BL38" i="2"/>
  <c r="BJ38" i="2"/>
  <c r="BI38" i="2"/>
  <c r="BG38" i="2"/>
  <c r="BF38" i="2"/>
  <c r="BE38" i="2"/>
  <c r="CJ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S36" i="2"/>
  <c r="BR36" i="2"/>
  <c r="BM36" i="2"/>
  <c r="BL36" i="2"/>
  <c r="BJ36" i="2"/>
  <c r="BI36" i="2"/>
  <c r="BG36" i="2"/>
  <c r="BF36" i="2"/>
  <c r="BE36" i="2"/>
  <c r="CJ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S42" i="2"/>
  <c r="BR42" i="2"/>
  <c r="BM42" i="2"/>
  <c r="BL42" i="2"/>
  <c r="BJ42" i="2"/>
  <c r="BI42" i="2"/>
  <c r="BG42" i="2"/>
  <c r="BF42" i="2"/>
  <c r="BE42" i="2"/>
  <c r="CJ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S35" i="2"/>
  <c r="BR35" i="2"/>
  <c r="BM35" i="2"/>
  <c r="BL35" i="2"/>
  <c r="BJ35" i="2"/>
  <c r="BI35" i="2"/>
  <c r="BG35" i="2"/>
  <c r="BF35" i="2"/>
  <c r="BE35" i="2"/>
  <c r="CJ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S37" i="2"/>
  <c r="BR37" i="2"/>
  <c r="BM37" i="2"/>
  <c r="BL37" i="2"/>
  <c r="BJ37" i="2"/>
  <c r="BI37" i="2"/>
  <c r="BG37" i="2"/>
  <c r="BF37" i="2"/>
  <c r="BE37" i="2"/>
  <c r="CJ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S24" i="2"/>
  <c r="BR24" i="2"/>
  <c r="BM24" i="2"/>
  <c r="BL24" i="2"/>
  <c r="BJ24" i="2"/>
  <c r="BI24" i="2"/>
  <c r="BG24" i="2"/>
  <c r="BF24" i="2"/>
  <c r="BE24" i="2"/>
  <c r="CJ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S33" i="2"/>
  <c r="BR33" i="2"/>
  <c r="BM33" i="2"/>
  <c r="BL33" i="2"/>
  <c r="BJ33" i="2"/>
  <c r="BI33" i="2"/>
  <c r="BG33" i="2"/>
  <c r="BF33" i="2"/>
  <c r="BE33" i="2"/>
  <c r="CJ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S21" i="2"/>
  <c r="BR21" i="2"/>
  <c r="BM21" i="2"/>
  <c r="BL21" i="2"/>
  <c r="BJ21" i="2"/>
  <c r="BI21" i="2"/>
  <c r="BG21" i="2"/>
  <c r="BF21" i="2"/>
  <c r="BE21" i="2"/>
  <c r="CJ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S32" i="2"/>
  <c r="BR32" i="2"/>
  <c r="BM32" i="2"/>
  <c r="BL32" i="2"/>
  <c r="BJ32" i="2"/>
  <c r="BI32" i="2"/>
  <c r="BG32" i="2"/>
  <c r="BF32" i="2"/>
  <c r="BE32" i="2"/>
  <c r="CJ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S31" i="2"/>
  <c r="BR31" i="2"/>
  <c r="BM31" i="2"/>
  <c r="BL31" i="2"/>
  <c r="BJ31" i="2"/>
  <c r="BI31" i="2"/>
  <c r="BG31" i="2"/>
  <c r="BF31" i="2"/>
  <c r="BE31" i="2"/>
  <c r="CJ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S29" i="2"/>
  <c r="BR29" i="2"/>
  <c r="BM29" i="2"/>
  <c r="BL29" i="2"/>
  <c r="BJ29" i="2"/>
  <c r="BI29" i="2"/>
  <c r="BG29" i="2"/>
  <c r="BF29" i="2"/>
  <c r="BE29" i="2"/>
  <c r="CJ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S25" i="2"/>
  <c r="BR25" i="2"/>
  <c r="BM25" i="2"/>
  <c r="BL25" i="2"/>
  <c r="BJ25" i="2"/>
  <c r="BI25" i="2"/>
  <c r="BG25" i="2"/>
  <c r="BF25" i="2"/>
  <c r="BE25" i="2"/>
  <c r="CJ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S27" i="2"/>
  <c r="BR27" i="2"/>
  <c r="BM27" i="2"/>
  <c r="BL27" i="2"/>
  <c r="BJ27" i="2"/>
  <c r="BI27" i="2"/>
  <c r="BG27" i="2"/>
  <c r="BF27" i="2"/>
  <c r="BE27" i="2"/>
  <c r="CJ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S30" i="2"/>
  <c r="BR30" i="2"/>
  <c r="BM30" i="2"/>
  <c r="BL30" i="2"/>
  <c r="BJ30" i="2"/>
  <c r="BI30" i="2"/>
  <c r="BG30" i="2"/>
  <c r="BF30" i="2"/>
  <c r="BE30" i="2"/>
  <c r="CJ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S34" i="2"/>
  <c r="BR34" i="2"/>
  <c r="BM34" i="2"/>
  <c r="BL34" i="2"/>
  <c r="BJ34" i="2"/>
  <c r="BI34" i="2"/>
  <c r="BG34" i="2"/>
  <c r="BF34" i="2"/>
  <c r="BE34" i="2"/>
  <c r="CJ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S26" i="2"/>
  <c r="BR26" i="2"/>
  <c r="BM26" i="2"/>
  <c r="BL26" i="2"/>
  <c r="BJ26" i="2"/>
  <c r="BI26" i="2"/>
  <c r="BG26" i="2"/>
  <c r="BF26" i="2"/>
  <c r="BE26" i="2"/>
  <c r="CJ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S23" i="2"/>
  <c r="BR23" i="2"/>
  <c r="BM23" i="2"/>
  <c r="BL23" i="2"/>
  <c r="BJ23" i="2"/>
  <c r="BI23" i="2"/>
  <c r="BG23" i="2"/>
  <c r="BF23" i="2"/>
  <c r="BE23" i="2"/>
  <c r="CJ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S28" i="2"/>
  <c r="BR28" i="2"/>
  <c r="BM28" i="2"/>
  <c r="BL28" i="2"/>
  <c r="BJ28" i="2"/>
  <c r="BI28" i="2"/>
  <c r="BG28" i="2"/>
  <c r="BF28" i="2"/>
  <c r="BE28" i="2"/>
  <c r="CJ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S22" i="2"/>
  <c r="BR22" i="2"/>
  <c r="BM22" i="2"/>
  <c r="BL22" i="2"/>
  <c r="BJ22" i="2"/>
  <c r="BI22" i="2"/>
  <c r="BG22" i="2"/>
  <c r="BF22" i="2"/>
  <c r="BE22" i="2"/>
  <c r="CJ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S12" i="2"/>
  <c r="BR12" i="2"/>
  <c r="BM12" i="2"/>
  <c r="BL12" i="2"/>
  <c r="BJ12" i="2"/>
  <c r="BI12" i="2"/>
  <c r="BG12" i="2"/>
  <c r="BF12" i="2"/>
  <c r="BE12" i="2"/>
  <c r="CJ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S20" i="2"/>
  <c r="BR20" i="2"/>
  <c r="BM20" i="2"/>
  <c r="BL20" i="2"/>
  <c r="BJ20" i="2"/>
  <c r="BI20" i="2"/>
  <c r="BG20" i="2"/>
  <c r="BF20" i="2"/>
  <c r="BE20" i="2"/>
  <c r="CJ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S5" i="2"/>
  <c r="BR5" i="2"/>
  <c r="BM5" i="2"/>
  <c r="BL5" i="2"/>
  <c r="BJ5" i="2"/>
  <c r="BI5" i="2"/>
  <c r="BG5" i="2"/>
  <c r="BF5" i="2"/>
  <c r="BE5" i="2"/>
  <c r="CJ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S19" i="2"/>
  <c r="BR19" i="2"/>
  <c r="BM19" i="2"/>
  <c r="BL19" i="2"/>
  <c r="BJ19" i="2"/>
  <c r="BI19" i="2"/>
  <c r="BG19" i="2"/>
  <c r="BF19" i="2"/>
  <c r="BE19" i="2"/>
  <c r="CJ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S9" i="2"/>
  <c r="BR9" i="2"/>
  <c r="BM9" i="2"/>
  <c r="BL9" i="2"/>
  <c r="BJ9" i="2"/>
  <c r="BI9" i="2"/>
  <c r="BG9" i="2"/>
  <c r="BF9" i="2"/>
  <c r="BE9" i="2"/>
  <c r="CJ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S17" i="2"/>
  <c r="BR17" i="2"/>
  <c r="BM17" i="2"/>
  <c r="BL17" i="2"/>
  <c r="BJ17" i="2"/>
  <c r="BI17" i="2"/>
  <c r="BG17" i="2"/>
  <c r="BF17" i="2"/>
  <c r="BE17" i="2"/>
  <c r="CJ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S16" i="2"/>
  <c r="BR16" i="2"/>
  <c r="BM16" i="2"/>
  <c r="BL16" i="2"/>
  <c r="BJ16" i="2"/>
  <c r="BI16" i="2"/>
  <c r="BG16" i="2"/>
  <c r="BF16" i="2"/>
  <c r="BE16" i="2"/>
  <c r="CJ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S8" i="2"/>
  <c r="BR8" i="2"/>
  <c r="BM8" i="2"/>
  <c r="BL8" i="2"/>
  <c r="BJ8" i="2"/>
  <c r="BI8" i="2"/>
  <c r="BG8" i="2"/>
  <c r="BF8" i="2"/>
  <c r="BE8" i="2"/>
  <c r="CJ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S15" i="2"/>
  <c r="BR15" i="2"/>
  <c r="BM15" i="2"/>
  <c r="BL15" i="2"/>
  <c r="BJ15" i="2"/>
  <c r="BI15" i="2"/>
  <c r="BG15" i="2"/>
  <c r="BF15" i="2"/>
  <c r="BE15" i="2"/>
  <c r="CJ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S18" i="2"/>
  <c r="BR18" i="2"/>
  <c r="BM18" i="2"/>
  <c r="BL18" i="2"/>
  <c r="BJ18" i="2"/>
  <c r="BI18" i="2"/>
  <c r="BG18" i="2"/>
  <c r="BF18" i="2"/>
  <c r="BE18" i="2"/>
  <c r="CJ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S11" i="2"/>
  <c r="BR11" i="2"/>
  <c r="BM11" i="2"/>
  <c r="BL11" i="2"/>
  <c r="BJ11" i="2"/>
  <c r="BI11" i="2"/>
  <c r="BG11" i="2"/>
  <c r="BF11" i="2"/>
  <c r="BE11" i="2"/>
  <c r="CJ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S14" i="2"/>
  <c r="BR14" i="2"/>
  <c r="BM14" i="2"/>
  <c r="BL14" i="2"/>
  <c r="BJ14" i="2"/>
  <c r="BI14" i="2"/>
  <c r="BG14" i="2"/>
  <c r="BF14" i="2"/>
  <c r="BE14" i="2"/>
  <c r="CJ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S10" i="2"/>
  <c r="BR10" i="2"/>
  <c r="BM10" i="2"/>
  <c r="BL10" i="2"/>
  <c r="BJ10" i="2"/>
  <c r="BI10" i="2"/>
  <c r="BG10" i="2"/>
  <c r="BF10" i="2"/>
  <c r="BE10" i="2"/>
  <c r="CJ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S7" i="2"/>
  <c r="BR7" i="2"/>
  <c r="BM7" i="2"/>
  <c r="BL7" i="2"/>
  <c r="BJ7" i="2"/>
  <c r="BI7" i="2"/>
  <c r="BG7" i="2"/>
  <c r="BF7" i="2"/>
  <c r="BE7" i="2"/>
  <c r="CJ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S13" i="2"/>
  <c r="BR13" i="2"/>
  <c r="BM13" i="2"/>
  <c r="BL13" i="2"/>
  <c r="BJ13" i="2"/>
  <c r="BI13" i="2"/>
  <c r="BG13" i="2"/>
  <c r="BF13" i="2"/>
  <c r="BE13" i="2"/>
  <c r="CJ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S6" i="2"/>
  <c r="BR6" i="2"/>
  <c r="BM6" i="2"/>
  <c r="BL6" i="2"/>
  <c r="BJ6" i="2"/>
  <c r="BI6" i="2"/>
  <c r="BG6" i="2"/>
  <c r="BF6" i="2"/>
  <c r="CI39" i="2" l="1"/>
  <c r="W104" i="2"/>
  <c r="V104" i="2"/>
  <c r="AZ103" i="2"/>
  <c r="AY103" i="2"/>
  <c r="AX103" i="2"/>
  <c r="AS103" i="2"/>
  <c r="AR103" i="2"/>
  <c r="AQ103" i="2"/>
  <c r="AP103" i="2"/>
  <c r="AK103" i="2"/>
  <c r="AJ103" i="2"/>
  <c r="AI103" i="2"/>
  <c r="AH103" i="2"/>
  <c r="AC103" i="2"/>
  <c r="AB103" i="2"/>
  <c r="AA103" i="2"/>
  <c r="Z103" i="2"/>
  <c r="M103" i="2"/>
  <c r="L103" i="2"/>
  <c r="BP76" i="2"/>
  <c r="BO76" i="2"/>
  <c r="BN76" i="2"/>
  <c r="BP66" i="2"/>
  <c r="BO66" i="2"/>
  <c r="BN66" i="2"/>
  <c r="BH66" i="2"/>
  <c r="BH72" i="2"/>
  <c r="BH73" i="2"/>
  <c r="BP68" i="2"/>
  <c r="BO68" i="2"/>
  <c r="BN68" i="2"/>
  <c r="BH68" i="2"/>
  <c r="BP67" i="2"/>
  <c r="BO67" i="2"/>
  <c r="BN67" i="2"/>
  <c r="BK67" i="2"/>
  <c r="BP65" i="2"/>
  <c r="BO65" i="2"/>
  <c r="BN65" i="2"/>
  <c r="BK65" i="2"/>
  <c r="CI70" i="2"/>
  <c r="BT62" i="2"/>
  <c r="BP62" i="2"/>
  <c r="BO62" i="2"/>
  <c r="BN62" i="2"/>
  <c r="BK62" i="2"/>
  <c r="BP60" i="2"/>
  <c r="BN60" i="2"/>
  <c r="BK60" i="2"/>
  <c r="BH60" i="2"/>
  <c r="BP48" i="2"/>
  <c r="BO48" i="2"/>
  <c r="BN48" i="2"/>
  <c r="BK48" i="2"/>
  <c r="BH48" i="2"/>
  <c r="BT61" i="2"/>
  <c r="BP52" i="2"/>
  <c r="BO52" i="2"/>
  <c r="BN52" i="2"/>
  <c r="CI55" i="2"/>
  <c r="BT50" i="2"/>
  <c r="BP50" i="2"/>
  <c r="BO50" i="2"/>
  <c r="BN50" i="2"/>
  <c r="CI45" i="2"/>
  <c r="BK45" i="2"/>
  <c r="CI40" i="2"/>
  <c r="BK43" i="2"/>
  <c r="BH43" i="2"/>
  <c r="CI41" i="2"/>
  <c r="BT46" i="2"/>
  <c r="BT33" i="2"/>
  <c r="BP33" i="2"/>
  <c r="BO33" i="2"/>
  <c r="BN33" i="2"/>
  <c r="BP27" i="2"/>
  <c r="BO27" i="2"/>
  <c r="BN27" i="2"/>
  <c r="BK27" i="2"/>
  <c r="BH27" i="2"/>
  <c r="BH9" i="2"/>
  <c r="BH15" i="2"/>
  <c r="BH18" i="2"/>
  <c r="BK11" i="2"/>
  <c r="BP14" i="2"/>
  <c r="BO14" i="2"/>
  <c r="BN14" i="2"/>
  <c r="CI63" i="2"/>
  <c r="BT63" i="2"/>
  <c r="BP63" i="2"/>
  <c r="BO63" i="2"/>
  <c r="BN63" i="2"/>
  <c r="BK63" i="2"/>
  <c r="BH63" i="2"/>
  <c r="CI69" i="2"/>
  <c r="CI76" i="2"/>
  <c r="BT74" i="2"/>
  <c r="BP74" i="2"/>
  <c r="BO74" i="2"/>
  <c r="BN74" i="2"/>
  <c r="CI72" i="2"/>
  <c r="BP72" i="2"/>
  <c r="BO72" i="2"/>
  <c r="BN72" i="2"/>
  <c r="BK71" i="2"/>
  <c r="BH71" i="2"/>
  <c r="BT73" i="2"/>
  <c r="BP73" i="2"/>
  <c r="BO73" i="2"/>
  <c r="BN73" i="2"/>
  <c r="CI68" i="2"/>
  <c r="BT68" i="2"/>
  <c r="BT65" i="2"/>
  <c r="CI64" i="2"/>
  <c r="BT64" i="2"/>
  <c r="BP64" i="2"/>
  <c r="BO64" i="2"/>
  <c r="BN64" i="2"/>
  <c r="BK64" i="2"/>
  <c r="BH64" i="2"/>
  <c r="BK57" i="2"/>
  <c r="BH57" i="2"/>
  <c r="CI56" i="2"/>
  <c r="BK56" i="2"/>
  <c r="BP61" i="2"/>
  <c r="BO61" i="2"/>
  <c r="BN61" i="2"/>
  <c r="BK61" i="2"/>
  <c r="CI59" i="2"/>
  <c r="BP59" i="2"/>
  <c r="BO59" i="2"/>
  <c r="BN59" i="2"/>
  <c r="BK59" i="2"/>
  <c r="BT53" i="2"/>
  <c r="BK53" i="2"/>
  <c r="BH53" i="2"/>
  <c r="BP47" i="2"/>
  <c r="BO47" i="2"/>
  <c r="BN47" i="2"/>
  <c r="BK44" i="2"/>
  <c r="BT43" i="2"/>
  <c r="BP43" i="2"/>
  <c r="BO43" i="2"/>
  <c r="BN43" i="2"/>
  <c r="BP41" i="2"/>
  <c r="BO41" i="2"/>
  <c r="BN41" i="2"/>
  <c r="BK41" i="2"/>
  <c r="BH46" i="2"/>
  <c r="CI21" i="2"/>
  <c r="BT21" i="2"/>
  <c r="BT32" i="2"/>
  <c r="BK32" i="2"/>
  <c r="CI30" i="2"/>
  <c r="BT26" i="2"/>
  <c r="BP26" i="2"/>
  <c r="BO26" i="2"/>
  <c r="BN26" i="2"/>
  <c r="BP20" i="2"/>
  <c r="BO20" i="2"/>
  <c r="BN20" i="2"/>
  <c r="BT5" i="2"/>
  <c r="BT19" i="2"/>
  <c r="BP19" i="2"/>
  <c r="BO19" i="2"/>
  <c r="BN19" i="2"/>
  <c r="BP9" i="2"/>
  <c r="BO9" i="2"/>
  <c r="BN9" i="2"/>
  <c r="BP17" i="2"/>
  <c r="BK17" i="2"/>
  <c r="BT11" i="2"/>
  <c r="BP11" i="2"/>
  <c r="BO11" i="2"/>
  <c r="BN11" i="2"/>
  <c r="BT7" i="2"/>
  <c r="BK7" i="2"/>
  <c r="BK13" i="2"/>
  <c r="BH13" i="2"/>
  <c r="BP6" i="2"/>
  <c r="BO6" i="2"/>
  <c r="BN6" i="2"/>
  <c r="BH6" i="2"/>
  <c r="BT39" i="2"/>
  <c r="BP39" i="2"/>
  <c r="BO39" i="2"/>
  <c r="BN39" i="2"/>
  <c r="BK39" i="2"/>
  <c r="BH39" i="2"/>
  <c r="CI38" i="2"/>
  <c r="BT38" i="2"/>
  <c r="BP38" i="2"/>
  <c r="BO38" i="2"/>
  <c r="BN38" i="2"/>
  <c r="BK38" i="2"/>
  <c r="BH38" i="2"/>
  <c r="CI36" i="2"/>
  <c r="BT36" i="2"/>
  <c r="BP36" i="2"/>
  <c r="BO36" i="2"/>
  <c r="BN36" i="2"/>
  <c r="BK36" i="2"/>
  <c r="BH36" i="2"/>
  <c r="CI42" i="2"/>
  <c r="BT42" i="2"/>
  <c r="BP42" i="2"/>
  <c r="BO42" i="2"/>
  <c r="BN42" i="2"/>
  <c r="BK42" i="2"/>
  <c r="BH42" i="2"/>
  <c r="CI35" i="2"/>
  <c r="BT35" i="2"/>
  <c r="BP35" i="2"/>
  <c r="BO35" i="2"/>
  <c r="BN35" i="2"/>
  <c r="BK35" i="2"/>
  <c r="BH35" i="2"/>
  <c r="CI37" i="2"/>
  <c r="BT37" i="2"/>
  <c r="BP37" i="2"/>
  <c r="BO37" i="2"/>
  <c r="BN37" i="2"/>
  <c r="BK37" i="2"/>
  <c r="BH37" i="2"/>
  <c r="CI24" i="2"/>
  <c r="BT24" i="2"/>
  <c r="BP24" i="2"/>
  <c r="BO24" i="2"/>
  <c r="BN24" i="2"/>
  <c r="BK24" i="2"/>
  <c r="BH24" i="2"/>
  <c r="CI33" i="2"/>
  <c r="CI32" i="2"/>
  <c r="BH32" i="2"/>
  <c r="CI23" i="2"/>
  <c r="BK23" i="2"/>
  <c r="BT17" i="2"/>
  <c r="BO17" i="2"/>
  <c r="BN17" i="2"/>
  <c r="BT16" i="2"/>
  <c r="BK16" i="2"/>
  <c r="BT76" i="2"/>
  <c r="CI66" i="2"/>
  <c r="BT66" i="2"/>
  <c r="BH67" i="2"/>
  <c r="BH61" i="2"/>
  <c r="BT52" i="2"/>
  <c r="BT47" i="2"/>
  <c r="BK47" i="2"/>
  <c r="BT41" i="2"/>
  <c r="CI46" i="2"/>
  <c r="BK46" i="2"/>
  <c r="BP34" i="2"/>
  <c r="BO34" i="2"/>
  <c r="BN34" i="2"/>
  <c r="BT23" i="2"/>
  <c r="BO28" i="2"/>
  <c r="BK12" i="2"/>
  <c r="CI20" i="2"/>
  <c r="CI19" i="2"/>
  <c r="CI9" i="2"/>
  <c r="BT9" i="2"/>
  <c r="BK9" i="2"/>
  <c r="BH17" i="2"/>
  <c r="BH16" i="2"/>
  <c r="BT13" i="2"/>
  <c r="CI6" i="2"/>
  <c r="BT6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BP69" i="2"/>
  <c r="BO69" i="2"/>
  <c r="BN69" i="2"/>
  <c r="BK69" i="2"/>
  <c r="BK66" i="2"/>
  <c r="BT71" i="2"/>
  <c r="BP71" i="2"/>
  <c r="BO71" i="2"/>
  <c r="BN71" i="2"/>
  <c r="CI73" i="2"/>
  <c r="BK73" i="2"/>
  <c r="BH70" i="2"/>
  <c r="BH62" i="2"/>
  <c r="BP53" i="2"/>
  <c r="BO53" i="2"/>
  <c r="BN53" i="2"/>
  <c r="BT49" i="2"/>
  <c r="BP49" i="2"/>
  <c r="BO49" i="2"/>
  <c r="BN49" i="2"/>
  <c r="BH45" i="2"/>
  <c r="BT25" i="2"/>
  <c r="BP25" i="2"/>
  <c r="BO25" i="2"/>
  <c r="BN25" i="2"/>
  <c r="CI34" i="2"/>
  <c r="BK26" i="2"/>
  <c r="BP23" i="2"/>
  <c r="BO23" i="2"/>
  <c r="BN23" i="2"/>
  <c r="BT28" i="2"/>
  <c r="BP28" i="2"/>
  <c r="BN28" i="2"/>
  <c r="BH28" i="2"/>
  <c r="BP12" i="2"/>
  <c r="BO12" i="2"/>
  <c r="BN12" i="2"/>
  <c r="BH20" i="2"/>
  <c r="BK5" i="2"/>
  <c r="BH5" i="2"/>
  <c r="BK19" i="2"/>
  <c r="BH19" i="2"/>
  <c r="CI11" i="2"/>
  <c r="CI14" i="2"/>
  <c r="BT14" i="2"/>
  <c r="BH10" i="2"/>
  <c r="BK75" i="2"/>
  <c r="BH75" i="2"/>
  <c r="CI67" i="2"/>
  <c r="BT67" i="2"/>
  <c r="CI65" i="2"/>
  <c r="BH65" i="2"/>
  <c r="CI51" i="2"/>
  <c r="BP51" i="2"/>
  <c r="BO51" i="2"/>
  <c r="BN51" i="2"/>
  <c r="BK51" i="2"/>
  <c r="BT60" i="2"/>
  <c r="BO60" i="2"/>
  <c r="BT58" i="2"/>
  <c r="BP58" i="2"/>
  <c r="BO58" i="2"/>
  <c r="BN58" i="2"/>
  <c r="CI49" i="2"/>
  <c r="BH44" i="2"/>
  <c r="BH21" i="2"/>
  <c r="CI31" i="2"/>
  <c r="BK31" i="2"/>
  <c r="BH31" i="2"/>
  <c r="BP29" i="2"/>
  <c r="BO29" i="2"/>
  <c r="BN29" i="2"/>
  <c r="BK29" i="2"/>
  <c r="CI25" i="2"/>
  <c r="CI26" i="2"/>
  <c r="BH23" i="2"/>
  <c r="CI28" i="2"/>
  <c r="BT22" i="2"/>
  <c r="CI12" i="2"/>
  <c r="BH12" i="2"/>
  <c r="CI8" i="2"/>
  <c r="BT8" i="2"/>
  <c r="BP8" i="2"/>
  <c r="BO8" i="2"/>
  <c r="BN8" i="2"/>
  <c r="BK8" i="2"/>
  <c r="BT15" i="2"/>
  <c r="CI18" i="2"/>
  <c r="BK18" i="2"/>
  <c r="CI7" i="2"/>
  <c r="BP7" i="2"/>
  <c r="BO7" i="2"/>
  <c r="BN7" i="2"/>
  <c r="BP13" i="2"/>
  <c r="BO13" i="2"/>
  <c r="BN13" i="2"/>
  <c r="BK6" i="2"/>
  <c r="BT69" i="2"/>
  <c r="BH69" i="2"/>
  <c r="BK68" i="2"/>
  <c r="CI75" i="2"/>
  <c r="BT75" i="2"/>
  <c r="BP75" i="2"/>
  <c r="BO75" i="2"/>
  <c r="BN75" i="2"/>
  <c r="BT51" i="2"/>
  <c r="BH51" i="2"/>
  <c r="CI60" i="2"/>
  <c r="CI48" i="2"/>
  <c r="BT48" i="2"/>
  <c r="BT56" i="2"/>
  <c r="BP56" i="2"/>
  <c r="BO56" i="2"/>
  <c r="BN56" i="2"/>
  <c r="BK52" i="2"/>
  <c r="CI50" i="2"/>
  <c r="BK50" i="2"/>
  <c r="BH50" i="2"/>
  <c r="BK49" i="2"/>
  <c r="BH49" i="2"/>
  <c r="CI47" i="2"/>
  <c r="BH40" i="2"/>
  <c r="BH41" i="2"/>
  <c r="CI27" i="2"/>
  <c r="BT27" i="2"/>
  <c r="BK34" i="2"/>
  <c r="BH34" i="2"/>
  <c r="BP22" i="2"/>
  <c r="BO22" i="2"/>
  <c r="BN22" i="2"/>
  <c r="BK22" i="2"/>
  <c r="BH22" i="2"/>
  <c r="BT12" i="2"/>
  <c r="CI5" i="2"/>
  <c r="BP5" i="2"/>
  <c r="BO5" i="2"/>
  <c r="BN5" i="2"/>
  <c r="CI10" i="2"/>
  <c r="CI74" i="2"/>
  <c r="BK74" i="2"/>
  <c r="BH74" i="2"/>
  <c r="BT72" i="2"/>
  <c r="BK72" i="2"/>
  <c r="CI71" i="2"/>
  <c r="CI62" i="2"/>
  <c r="BP57" i="2"/>
  <c r="BO57" i="2"/>
  <c r="BN57" i="2"/>
  <c r="BT59" i="2"/>
  <c r="BH59" i="2"/>
  <c r="CI53" i="2"/>
  <c r="CI52" i="2"/>
  <c r="BH52" i="2"/>
  <c r="BH55" i="2"/>
  <c r="BP40" i="2"/>
  <c r="BO40" i="2"/>
  <c r="BN40" i="2"/>
  <c r="CI44" i="2"/>
  <c r="BP44" i="2"/>
  <c r="BO44" i="2"/>
  <c r="BN44" i="2"/>
  <c r="BT31" i="2"/>
  <c r="CI29" i="2"/>
  <c r="BT29" i="2"/>
  <c r="BH29" i="2"/>
  <c r="BK25" i="2"/>
  <c r="BH25" i="2"/>
  <c r="CI17" i="2"/>
  <c r="CI16" i="2"/>
  <c r="BP16" i="2"/>
  <c r="BO16" i="2"/>
  <c r="BN16" i="2"/>
  <c r="BH8" i="2"/>
  <c r="CI15" i="2"/>
  <c r="BH14" i="2"/>
  <c r="BT10" i="2"/>
  <c r="CI13" i="2"/>
  <c r="BT70" i="2"/>
  <c r="BP70" i="2"/>
  <c r="BO70" i="2"/>
  <c r="BN70" i="2"/>
  <c r="BK70" i="2"/>
  <c r="CI58" i="2"/>
  <c r="BK58" i="2"/>
  <c r="BH58" i="2"/>
  <c r="CI57" i="2"/>
  <c r="BH56" i="2"/>
  <c r="CI54" i="2"/>
  <c r="BT54" i="2"/>
  <c r="BH54" i="2"/>
  <c r="BK55" i="2"/>
  <c r="BH47" i="2"/>
  <c r="BT45" i="2"/>
  <c r="BP45" i="2"/>
  <c r="BO45" i="2"/>
  <c r="BN45" i="2"/>
  <c r="BT40" i="2"/>
  <c r="BK40" i="2"/>
  <c r="BP46" i="2"/>
  <c r="BO46" i="2"/>
  <c r="BN46" i="2"/>
  <c r="BK33" i="2"/>
  <c r="BQ33" i="2" s="1"/>
  <c r="BH33" i="2"/>
  <c r="BP21" i="2"/>
  <c r="BO21" i="2"/>
  <c r="BN21" i="2"/>
  <c r="BK21" i="2"/>
  <c r="BP32" i="2"/>
  <c r="BO32" i="2"/>
  <c r="BN32" i="2"/>
  <c r="BP31" i="2"/>
  <c r="BO31" i="2"/>
  <c r="BN31" i="2"/>
  <c r="BT30" i="2"/>
  <c r="BP30" i="2"/>
  <c r="BO30" i="2"/>
  <c r="BN30" i="2"/>
  <c r="BK30" i="2"/>
  <c r="BH30" i="2"/>
  <c r="BT34" i="2"/>
  <c r="BK28" i="2"/>
  <c r="CI22" i="2"/>
  <c r="BP15" i="2"/>
  <c r="BO15" i="2"/>
  <c r="BN15" i="2"/>
  <c r="BK15" i="2"/>
  <c r="BH7" i="2"/>
  <c r="BK76" i="2"/>
  <c r="BH76" i="2"/>
  <c r="BT57" i="2"/>
  <c r="BP54" i="2"/>
  <c r="BO54" i="2"/>
  <c r="BN54" i="2"/>
  <c r="BK54" i="2"/>
  <c r="CI61" i="2"/>
  <c r="BT55" i="2"/>
  <c r="BP55" i="2"/>
  <c r="BO55" i="2"/>
  <c r="BN55" i="2"/>
  <c r="BT44" i="2"/>
  <c r="CI43" i="2"/>
  <c r="BH26" i="2"/>
  <c r="BT20" i="2"/>
  <c r="BK20" i="2"/>
  <c r="BT18" i="2"/>
  <c r="BP18" i="2"/>
  <c r="BO18" i="2"/>
  <c r="BN18" i="2"/>
  <c r="BH11" i="2"/>
  <c r="BK14" i="2"/>
  <c r="BP10" i="2"/>
  <c r="BO10" i="2"/>
  <c r="BN10" i="2"/>
  <c r="BK10" i="2"/>
  <c r="BQ50" i="2" l="1"/>
  <c r="BQ76" i="2"/>
  <c r="BQ8" i="2"/>
  <c r="BQ14" i="2"/>
  <c r="BQ39" i="2"/>
  <c r="BQ41" i="2"/>
  <c r="BQ47" i="2"/>
  <c r="BQ68" i="2"/>
  <c r="BQ69" i="2"/>
  <c r="BQ40" i="2"/>
  <c r="BQ49" i="2"/>
  <c r="BQ59" i="2"/>
  <c r="BQ63" i="2"/>
  <c r="BQ42" i="2"/>
  <c r="BQ27" i="2"/>
  <c r="BQ21" i="2"/>
  <c r="BQ24" i="2"/>
  <c r="BQ67" i="2"/>
  <c r="BQ54" i="2"/>
  <c r="BQ70" i="2"/>
  <c r="BQ36" i="2"/>
  <c r="BQ65" i="2"/>
  <c r="BQ10" i="2"/>
  <c r="BQ15" i="2"/>
  <c r="BQ30" i="2"/>
  <c r="BQ22" i="2"/>
  <c r="BQ35" i="2"/>
  <c r="BQ61" i="2"/>
  <c r="BQ48" i="2"/>
  <c r="BQ62" i="2"/>
  <c r="BQ52" i="2"/>
  <c r="BQ58" i="2"/>
  <c r="BQ29" i="2"/>
  <c r="BQ51" i="2"/>
  <c r="BQ37" i="2"/>
  <c r="BQ53" i="2"/>
  <c r="BQ64" i="2"/>
  <c r="BQ23" i="2"/>
  <c r="BQ28" i="2"/>
  <c r="BQ25" i="2"/>
  <c r="BQ38" i="2"/>
  <c r="BQ60" i="2"/>
  <c r="BQ71" i="2"/>
  <c r="BQ6" i="2"/>
  <c r="BQ34" i="2"/>
  <c r="BQ66" i="2"/>
  <c r="BQ75" i="2"/>
  <c r="BQ74" i="2"/>
  <c r="BQ72" i="2"/>
  <c r="BQ20" i="2"/>
  <c r="BQ43" i="2"/>
  <c r="BQ11" i="2"/>
  <c r="BQ7" i="2"/>
  <c r="BQ12" i="2"/>
  <c r="BQ9" i="2"/>
  <c r="BQ73" i="2"/>
  <c r="BQ26" i="2"/>
  <c r="BQ5" i="2"/>
  <c r="BQ19" i="2"/>
  <c r="BQ31" i="2"/>
  <c r="BQ18" i="2"/>
  <c r="BQ55" i="2"/>
  <c r="BQ45" i="2"/>
  <c r="BQ56" i="2"/>
  <c r="BQ44" i="2"/>
  <c r="BQ13" i="2"/>
  <c r="BQ57" i="2"/>
  <c r="BQ32" i="2"/>
  <c r="BQ17" i="2"/>
  <c r="BQ46" i="2"/>
  <c r="BQ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急診登入用</author>
    <author>Microsoft Office User</author>
  </authors>
  <commentList>
    <comment ref="AN9" authorId="0" shapeId="0" xr:uid="{00000000-0006-0000-0000-000001000000}">
      <text>
        <r>
          <rPr>
            <b/>
            <sz val="26"/>
            <color rgb="FF000000"/>
            <rFont val="細明體"/>
            <family val="1"/>
            <charset val="136"/>
          </rPr>
          <t>勿</t>
        </r>
        <r>
          <rPr>
            <b/>
            <sz val="26"/>
            <color rgb="FF000000"/>
            <rFont val="Tahoma"/>
            <family val="2"/>
          </rPr>
          <t>n</t>
        </r>
      </text>
    </comment>
    <comment ref="AL12" authorId="1" shapeId="0" xr:uid="{00000000-0006-0000-0000-000002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R19" authorId="1" shapeId="0" xr:uid="{00000000-0006-0000-0000-000003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L22" authorId="1" shapeId="0" xr:uid="{00000000-0006-0000-0000-000004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M22" authorId="1" shapeId="0" xr:uid="{00000000-0006-0000-0000-000005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F31" authorId="0" shapeId="0" xr:uid="{00000000-0006-0000-0000-000006000000}">
      <text>
        <r>
          <rPr>
            <b/>
            <sz val="22"/>
            <color rgb="FF000000"/>
            <rFont val="細明體"/>
            <family val="1"/>
            <charset val="136"/>
          </rPr>
          <t>想放</t>
        </r>
      </text>
    </comment>
    <comment ref="AL36" authorId="1" shapeId="0" xr:uid="{00000000-0006-0000-0000-000007000000}">
      <text>
        <r>
          <rPr>
            <sz val="16"/>
            <color rgb="FF000000"/>
            <rFont val="Microsoft JhengHei UI"/>
            <family val="2"/>
            <charset val="136"/>
          </rPr>
          <t>物</t>
        </r>
        <r>
          <rPr>
            <sz val="16"/>
            <color rgb="FF000000"/>
            <rFont val="Microsoft JhengHei UI"/>
            <family val="2"/>
            <charset val="136"/>
          </rPr>
          <t>N</t>
        </r>
      </text>
    </comment>
    <comment ref="AR36" authorId="1" shapeId="0" xr:uid="{00000000-0006-0000-0000-000008000000}">
      <text>
        <r>
          <rPr>
            <sz val="18"/>
            <color rgb="FF000000"/>
            <rFont val="Microsoft JhengHei UI"/>
            <family val="2"/>
            <charset val="136"/>
          </rPr>
          <t>可</t>
        </r>
        <r>
          <rPr>
            <sz val="18"/>
            <color rgb="FF000000"/>
            <rFont val="Microsoft JhengHei UI"/>
            <family val="2"/>
            <charset val="136"/>
          </rPr>
          <t>N</t>
        </r>
      </text>
    </comment>
    <comment ref="AL37" authorId="0" shapeId="0" xr:uid="{00000000-0006-0000-0000-000009000000}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F46" authorId="0" shapeId="0" xr:uid="{00000000-0006-0000-0000-00000A000000}">
      <text>
        <r>
          <rPr>
            <b/>
            <sz val="20"/>
            <color indexed="81"/>
            <rFont val="細明體"/>
            <family val="3"/>
            <charset val="136"/>
          </rPr>
          <t>想放</t>
        </r>
      </text>
    </comment>
    <comment ref="AM53" authorId="1" shapeId="0" xr:uid="{00000000-0006-0000-0000-00000B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N53" authorId="0" shapeId="0" xr:uid="{00000000-0006-0000-0000-00000C000000}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Z54" authorId="0" shapeId="0" xr:uid="{00000000-0006-0000-0000-00000D000000}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Z55" authorId="0" shapeId="0" xr:uid="{00000000-0006-0000-0000-00000E000000}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L56" authorId="1" shapeId="0" xr:uid="{00000000-0006-0000-0000-00000F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  <comment ref="AN56" authorId="0" shapeId="0" xr:uid="{00000000-0006-0000-0000-000010000000}">
      <text>
        <r>
          <rPr>
            <b/>
            <sz val="20"/>
            <color rgb="FF000000"/>
            <rFont val="細明體"/>
            <family val="1"/>
            <charset val="136"/>
          </rPr>
          <t>想放</t>
        </r>
      </text>
    </comment>
    <comment ref="AW62" authorId="0" shapeId="0" xr:uid="{00000000-0006-0000-0000-000011000000}">
      <text>
        <r>
          <rPr>
            <b/>
            <sz val="24"/>
            <color rgb="FF000000"/>
            <rFont val="細明體"/>
            <family val="1"/>
            <charset val="136"/>
          </rPr>
          <t>勿</t>
        </r>
        <r>
          <rPr>
            <b/>
            <sz val="24"/>
            <color rgb="FF000000"/>
            <rFont val="Tahoma"/>
            <family val="2"/>
          </rPr>
          <t>EN</t>
        </r>
      </text>
    </comment>
    <comment ref="AX68" authorId="0" shapeId="0" xr:uid="{00000000-0006-0000-0000-000012000000}">
      <text>
        <r>
          <rPr>
            <b/>
            <sz val="22"/>
            <color rgb="FF000000"/>
            <rFont val="細明體"/>
            <family val="1"/>
            <charset val="136"/>
          </rPr>
          <t>可</t>
        </r>
        <r>
          <rPr>
            <b/>
            <sz val="22"/>
            <color rgb="FF000000"/>
            <rFont val="Tahoma"/>
            <family val="2"/>
          </rPr>
          <t>D</t>
        </r>
      </text>
    </comment>
  </commentList>
</comments>
</file>

<file path=xl/sharedStrings.xml><?xml version="1.0" encoding="utf-8"?>
<sst xmlns="http://schemas.openxmlformats.org/spreadsheetml/2006/main" count="3313" uniqueCount="218">
  <si>
    <t>3/15-3/31</t>
    <phoneticPr fontId="2" type="noConversion"/>
  </si>
  <si>
    <t>4/1-4/11</t>
    <phoneticPr fontId="4" type="noConversion"/>
  </si>
  <si>
    <t>3/15-4/11</t>
    <phoneticPr fontId="3" type="noConversion"/>
  </si>
  <si>
    <t>4/12-4/30</t>
    <phoneticPr fontId="4" type="noConversion"/>
  </si>
  <si>
    <t>4/1-4/30</t>
    <phoneticPr fontId="4" type="noConversion"/>
  </si>
  <si>
    <t>日期</t>
  </si>
  <si>
    <t>D</t>
    <phoneticPr fontId="3" type="noConversion"/>
  </si>
  <si>
    <t>E</t>
  </si>
  <si>
    <t>N</t>
  </si>
  <si>
    <t>上班日</t>
    <phoneticPr fontId="3" type="noConversion"/>
  </si>
  <si>
    <t>例假日</t>
    <phoneticPr fontId="2" type="noConversion"/>
  </si>
  <si>
    <t>休息</t>
    <phoneticPr fontId="2" type="noConversion"/>
  </si>
  <si>
    <t>綜合</t>
  </si>
  <si>
    <t>四周例</t>
  </si>
  <si>
    <t>四周息</t>
  </si>
  <si>
    <t>四周綜合</t>
  </si>
  <si>
    <t>國</t>
    <phoneticPr fontId="3" type="noConversion"/>
  </si>
  <si>
    <t>例</t>
    <phoneticPr fontId="2" type="noConversion"/>
  </si>
  <si>
    <t>息</t>
    <phoneticPr fontId="2" type="noConversion"/>
  </si>
  <si>
    <t>國</t>
    <phoneticPr fontId="2" type="noConversion"/>
  </si>
  <si>
    <t>補</t>
    <phoneticPr fontId="2" type="noConversion"/>
  </si>
  <si>
    <t>特</t>
    <phoneticPr fontId="2" type="noConversion"/>
  </si>
  <si>
    <t>喪</t>
    <phoneticPr fontId="2" type="noConversion"/>
  </si>
  <si>
    <t>病</t>
    <phoneticPr fontId="2" type="noConversion"/>
  </si>
  <si>
    <t>空</t>
    <phoneticPr fontId="3" type="noConversion"/>
  </si>
  <si>
    <t>婚</t>
    <phoneticPr fontId="2" type="noConversion"/>
  </si>
  <si>
    <t>產檢</t>
    <phoneticPr fontId="2" type="noConversion"/>
  </si>
  <si>
    <t>產</t>
    <phoneticPr fontId="2" type="noConversion"/>
  </si>
  <si>
    <t>公</t>
    <phoneticPr fontId="2" type="noConversion"/>
  </si>
  <si>
    <t>休假天數</t>
  </si>
  <si>
    <t>六日休假</t>
    <phoneticPr fontId="2" type="noConversion"/>
  </si>
  <si>
    <t>星期</t>
  </si>
  <si>
    <t>日</t>
  </si>
  <si>
    <t>一</t>
  </si>
  <si>
    <t>二</t>
  </si>
  <si>
    <t>三</t>
  </si>
  <si>
    <t>四</t>
  </si>
  <si>
    <t>五</t>
  </si>
  <si>
    <t>六</t>
  </si>
  <si>
    <t>一</t>
    <phoneticPr fontId="2" type="noConversion"/>
  </si>
  <si>
    <t>二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</si>
  <si>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</si>
  <si>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</si>
  <si>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</si>
  <si>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</si>
  <si>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日</t>
    <phoneticPr fontId="2" type="noConversion"/>
  </si>
  <si>
    <t>例</t>
  </si>
  <si>
    <t>特</t>
  </si>
  <si>
    <t>息</t>
  </si>
  <si>
    <t>補</t>
  </si>
  <si>
    <t>D</t>
    <phoneticPr fontId="2" type="noConversion"/>
  </si>
  <si>
    <t>D</t>
  </si>
  <si>
    <t>D/特</t>
  </si>
  <si>
    <t>E</t>
    <phoneticPr fontId="2" type="noConversion"/>
  </si>
  <si>
    <t>E/息</t>
  </si>
  <si>
    <t>N</t>
    <phoneticPr fontId="2" type="noConversion"/>
  </si>
  <si>
    <t>國</t>
  </si>
  <si>
    <t>E/特</t>
  </si>
  <si>
    <t>N/特</t>
  </si>
  <si>
    <t>補(舊)</t>
  </si>
  <si>
    <t>公</t>
  </si>
  <si>
    <t>生理E</t>
  </si>
  <si>
    <t>N/息</t>
  </si>
  <si>
    <t>D/息</t>
  </si>
  <si>
    <t>病E</t>
  </si>
  <si>
    <t>生理d</t>
  </si>
  <si>
    <t>生理N</t>
  </si>
  <si>
    <t>病D</t>
  </si>
  <si>
    <t>病N</t>
  </si>
  <si>
    <t>新N</t>
  </si>
  <si>
    <t>C1</t>
  </si>
  <si>
    <t>D10</t>
  </si>
  <si>
    <t>日期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</si>
  <si>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</si>
  <si>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</si>
  <si>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</si>
  <si>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</si>
  <si>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</si>
  <si>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</si>
  <si>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</si>
  <si>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</si>
  <si>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</si>
  <si>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</si>
  <si>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</si>
  <si>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</si>
  <si>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</si>
  <si>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</si>
  <si>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</si>
  <si>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</si>
  <si>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</si>
  <si>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</si>
  <si>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</si>
  <si>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</si>
  <si>
    <t>30</t>
  </si>
  <si>
    <t>31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</si>
  <si>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</si>
  <si>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</si>
  <si>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</si>
  <si>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</si>
  <si>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</si>
  <si>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</si>
  <si>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</si>
  <si>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</si>
  <si>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</si>
  <si>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E</t>
    <phoneticPr fontId="3" type="noConversion"/>
  </si>
  <si>
    <t>D14</t>
    <phoneticPr fontId="3" type="noConversion"/>
  </si>
  <si>
    <t>E14</t>
    <phoneticPr fontId="2" type="noConversion"/>
  </si>
  <si>
    <t>N12</t>
    <phoneticPr fontId="2" type="noConversion"/>
  </si>
  <si>
    <t>D11</t>
    <phoneticPr fontId="2" type="noConversion"/>
  </si>
  <si>
    <t>E11</t>
    <phoneticPr fontId="2" type="noConversion"/>
  </si>
  <si>
    <t>N9</t>
    <phoneticPr fontId="2" type="noConversion"/>
  </si>
  <si>
    <t>D8</t>
    <phoneticPr fontId="3" type="noConversion"/>
  </si>
  <si>
    <t>E8</t>
    <phoneticPr fontId="2" type="noConversion"/>
  </si>
  <si>
    <t>N6</t>
    <phoneticPr fontId="2" type="noConversion"/>
  </si>
  <si>
    <t>D4</t>
    <phoneticPr fontId="2" type="noConversion"/>
  </si>
  <si>
    <t>E4</t>
    <phoneticPr fontId="2" type="noConversion"/>
  </si>
  <si>
    <t>N3</t>
    <phoneticPr fontId="2" type="noConversion"/>
  </si>
  <si>
    <t>D小組長</t>
    <phoneticPr fontId="3" type="noConversion"/>
  </si>
  <si>
    <t>E小組長</t>
    <phoneticPr fontId="3" type="noConversion"/>
  </si>
  <si>
    <t>N小組長</t>
    <phoneticPr fontId="3" type="noConversion"/>
  </si>
  <si>
    <t>綜合人數</t>
  </si>
  <si>
    <t>驗證列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</si>
  <si>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</si>
  <si>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</si>
  <si>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</si>
  <si>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</si>
  <si>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</si>
  <si>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</si>
  <si>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</si>
  <si>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</si>
  <si>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</si>
  <si>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</si>
  <si>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</si>
  <si>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</si>
  <si>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</si>
  <si>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</si>
  <si>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</si>
  <si>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</si>
  <si>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</si>
  <si>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</si>
  <si>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</si>
  <si>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</si>
  <si>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</si>
  <si>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</si>
  <si>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</si>
  <si>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</si>
  <si>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</si>
  <si>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</si>
  <si>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</si>
  <si>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</si>
  <si>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</si>
  <si>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</si>
  <si>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</si>
  <si>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</si>
  <si>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</si>
  <si>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</si>
  <si>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</si>
  <si>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</si>
  <si>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</si>
  <si>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</si>
  <si>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</si>
  <si>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</si>
  <si>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</si>
  <si>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</si>
  <si>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</si>
  <si>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</si>
  <si>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</si>
  <si>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</si>
  <si>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</si>
  <si>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</si>
  <si>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</si>
  <si>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</si>
  <si>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</si>
  <si>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</si>
  <si>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D12</t>
  </si>
  <si>
    <t>D13</t>
  </si>
  <si>
    <t>D14</t>
  </si>
  <si>
    <t>D15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</si>
  <si>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</si>
  <si>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</si>
  <si>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</si>
  <si>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</si>
  <si>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</si>
  <si>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</si>
  <si>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</si>
  <si>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</si>
  <si>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</si>
  <si>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</si>
  <si>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</si>
  <si>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</si>
  <si>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</si>
  <si>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</si>
  <si>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例假</t>
  </si>
  <si>
    <t>休息</t>
  </si>
  <si>
    <t>姓名</t>
    <phoneticPr fontId="2" type="noConversion"/>
  </si>
  <si>
    <t>A-E</t>
    <phoneticPr fontId="2" type="noConversion"/>
  </si>
  <si>
    <t>E</t>
    <phoneticPr fontId="2" type="noConversion"/>
  </si>
  <si>
    <t>D-E</t>
    <phoneticPr fontId="2" type="noConversion"/>
  </si>
  <si>
    <t>C-E</t>
    <phoneticPr fontId="2" type="noConversion"/>
  </si>
  <si>
    <t>B-E</t>
    <phoneticPr fontId="2" type="noConversion"/>
  </si>
  <si>
    <t>離職</t>
    <phoneticPr fontId="2" type="noConversion"/>
  </si>
  <si>
    <t>&gt;=2</t>
    <phoneticPr fontId="2" type="noConversion"/>
  </si>
  <si>
    <t>A1</t>
    <phoneticPr fontId="2" type="noConversion"/>
  </si>
  <si>
    <t>A2</t>
    <phoneticPr fontId="2" type="noConversion"/>
  </si>
  <si>
    <t>B1</t>
    <phoneticPr fontId="2" type="noConversion"/>
  </si>
  <si>
    <t>B2</t>
    <phoneticPr fontId="3" type="noConversion"/>
  </si>
  <si>
    <t>C1</t>
    <phoneticPr fontId="2" type="noConversion"/>
  </si>
  <si>
    <t>C2</t>
    <phoneticPr fontId="2" type="noConversion"/>
  </si>
  <si>
    <t>D1</t>
    <phoneticPr fontId="2" type="noConversion"/>
  </si>
  <si>
    <t>D2</t>
    <phoneticPr fontId="3" type="noConversion"/>
  </si>
  <si>
    <t>E1</t>
    <phoneticPr fontId="2" type="noConversion"/>
  </si>
  <si>
    <t>E2</t>
    <phoneticPr fontId="3" type="noConversion"/>
  </si>
  <si>
    <t>表示本月包E班人員</t>
    <phoneticPr fontId="2" type="noConversion"/>
  </si>
  <si>
    <t>表示本月包N班人員</t>
    <phoneticPr fontId="2" type="noConversion"/>
  </si>
  <si>
    <t>端午節</t>
    <phoneticPr fontId="2" type="noConversion"/>
  </si>
  <si>
    <t>6月</t>
    <phoneticPr fontId="2" type="noConversion"/>
  </si>
  <si>
    <t>5月</t>
    <phoneticPr fontId="2" type="noConversion"/>
  </si>
  <si>
    <t xml:space="preserve">    ○○醫院115年6月護理師班表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</si>
</sst>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m&quot;月&quot;d&quot;日&quot;"/>
    <numFmt numFmtId="178" formatCode="0_ "/>
    <numFmt numFmtId="179" formatCode="0.0"/>
  </numFmts>
  <fonts count="29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22"/>
      <name val="微軟正黑體"/>
      <family val="2"/>
      <charset val="136"/>
    </font>
    <font>
      <b/>
      <sz val="26"/>
      <color rgb="FF000000"/>
      <name val="細明體"/>
      <family val="1"/>
      <charset val="136"/>
    </font>
    <font>
      <b/>
      <sz val="26"/>
      <color rgb="FF000000"/>
      <name val="Tahoma"/>
      <family val="2"/>
    </font>
    <font>
      <b/>
      <sz val="10"/>
      <color rgb="FF000000"/>
      <name val="Microsoft JhengHei UI"/>
      <family val="2"/>
      <charset val="136"/>
    </font>
    <font>
      <sz val="10"/>
      <color rgb="FF000000"/>
      <name val="Microsoft JhengHei UI"/>
      <family val="2"/>
      <charset val="136"/>
    </font>
    <font>
      <b/>
      <sz val="22"/>
      <color rgb="FF000000"/>
      <name val="細明體"/>
      <family val="1"/>
      <charset val="136"/>
    </font>
    <font>
      <b/>
      <sz val="20"/>
      <color rgb="FF000000"/>
      <name val="細明體"/>
      <family val="1"/>
      <charset val="136"/>
    </font>
    <font>
      <sz val="16"/>
      <color rgb="FF000000"/>
      <name val="Microsoft JhengHei UI"/>
      <family val="2"/>
      <charset val="136"/>
    </font>
    <font>
      <sz val="18"/>
      <color rgb="FF000000"/>
      <name val="Microsoft JhengHei UI"/>
      <family val="2"/>
      <charset val="136"/>
    </font>
    <font>
      <b/>
      <sz val="20"/>
      <color indexed="81"/>
      <name val="細明體"/>
      <family val="3"/>
      <charset val="136"/>
    </font>
    <font>
      <b/>
      <sz val="24"/>
      <color rgb="FF000000"/>
      <name val="細明體"/>
      <family val="1"/>
      <charset val="136"/>
    </font>
    <font>
      <b/>
      <sz val="24"/>
      <color rgb="FF000000"/>
      <name val="Tahoma"/>
      <family val="2"/>
    </font>
    <font>
      <b/>
      <sz val="22"/>
      <color rgb="FF000000"/>
      <name val="Tahoma"/>
      <family val="2"/>
    </font>
    <font>
      <sz val="22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u/>
      <sz val="22"/>
      <color rgb="FF7030A0"/>
      <name val="微軟正黑體"/>
      <family val="2"/>
      <charset val="136"/>
    </font>
    <font>
      <b/>
      <u/>
      <sz val="22"/>
      <color rgb="FF00B050"/>
      <name val="微軟正黑體"/>
      <family val="2"/>
      <charset val="136"/>
    </font>
    <font>
      <b/>
      <sz val="18"/>
      <name val="微軟正黑體"/>
      <family val="2"/>
      <charset val="136"/>
    </font>
    <font>
      <sz val="22"/>
      <color theme="0"/>
      <name val="微軟正黑體"/>
      <family val="2"/>
      <charset val="136"/>
    </font>
    <font>
      <sz val="24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Dash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6">
    <xf numFmtId="0" fontId="0" fillId="0" borderId="0" xfId="0">
      <alignment vertical="center"/>
    </xf>
    <xf numFmtId="0" fontId="18" fillId="2" borderId="0" xfId="1" applyFont="1" applyFill="1" applyAlignment="1">
      <alignment horizontal="center" vertical="center" shrinkToFit="1"/>
    </xf>
    <xf numFmtId="0" fontId="18" fillId="0" borderId="0" xfId="1" applyFont="1"/>
    <xf numFmtId="0" fontId="18" fillId="2" borderId="0" xfId="1" applyFont="1" applyFill="1"/>
    <xf numFmtId="0" fontId="5" fillId="2" borderId="0" xfId="1" applyFont="1" applyFill="1" applyAlignment="1">
      <alignment horizontal="center" vertical="center" shrinkToFit="1"/>
    </xf>
    <xf numFmtId="0" fontId="19" fillId="2" borderId="3" xfId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left" vertical="center" shrinkToFit="1"/>
    </xf>
    <xf numFmtId="0" fontId="19" fillId="2" borderId="3" xfId="1" applyFont="1" applyFill="1" applyBorder="1" applyAlignment="1">
      <alignment horizontal="left" vertical="center" shrinkToFit="1"/>
    </xf>
    <xf numFmtId="9" fontId="19" fillId="2" borderId="3" xfId="1" applyNumberFormat="1" applyFont="1" applyFill="1" applyBorder="1" applyAlignment="1">
      <alignment horizontal="left" vertical="center" shrinkToFit="1"/>
    </xf>
    <xf numFmtId="9" fontId="19" fillId="3" borderId="3" xfId="1" applyNumberFormat="1" applyFont="1" applyFill="1" applyBorder="1" applyAlignment="1">
      <alignment horizontal="left" vertical="center" shrinkToFit="1"/>
    </xf>
    <xf numFmtId="0" fontId="19" fillId="3" borderId="3" xfId="1" applyFont="1" applyFill="1" applyBorder="1" applyAlignment="1">
      <alignment horizontal="left" vertical="center" shrinkToFit="1"/>
    </xf>
    <xf numFmtId="9" fontId="21" fillId="2" borderId="3" xfId="1" applyNumberFormat="1" applyFont="1" applyFill="1" applyBorder="1" applyAlignment="1">
      <alignment horizontal="left" vertical="center" shrinkToFit="1"/>
    </xf>
    <xf numFmtId="179" fontId="19" fillId="2" borderId="3" xfId="1" applyNumberFormat="1" applyFont="1" applyFill="1" applyBorder="1" applyAlignment="1">
      <alignment horizontal="left" vertical="center" shrinkToFit="1"/>
    </xf>
    <xf numFmtId="179" fontId="18" fillId="0" borderId="0" xfId="1" applyNumberFormat="1" applyFont="1"/>
    <xf numFmtId="179" fontId="18" fillId="2" borderId="2" xfId="1" applyNumberFormat="1" applyFont="1" applyFill="1" applyBorder="1"/>
    <xf numFmtId="0" fontId="18" fillId="6" borderId="0" xfId="1" applyFont="1" applyFill="1"/>
    <xf numFmtId="0" fontId="21" fillId="2" borderId="3" xfId="1" applyFont="1" applyFill="1" applyBorder="1" applyAlignment="1">
      <alignment horizontal="left" vertical="center" shrinkToFit="1"/>
    </xf>
    <xf numFmtId="0" fontId="22" fillId="2" borderId="3" xfId="1" applyFont="1" applyFill="1" applyBorder="1" applyAlignment="1">
      <alignment horizontal="left" vertical="center" shrinkToFit="1"/>
    </xf>
    <xf numFmtId="0" fontId="18" fillId="2" borderId="1" xfId="1" applyFont="1" applyFill="1" applyBorder="1"/>
    <xf numFmtId="9" fontId="20" fillId="2" borderId="3" xfId="1" applyNumberFormat="1" applyFont="1" applyFill="1" applyBorder="1" applyAlignment="1">
      <alignment horizontal="left" vertical="center" shrinkToFit="1"/>
    </xf>
    <xf numFmtId="0" fontId="19" fillId="0" borderId="3" xfId="1" applyFont="1" applyBorder="1" applyAlignment="1">
      <alignment horizontal="left" vertical="center" shrinkToFit="1"/>
    </xf>
    <xf numFmtId="9" fontId="19" fillId="0" borderId="3" xfId="1" applyNumberFormat="1" applyFont="1" applyBorder="1" applyAlignment="1">
      <alignment horizontal="left" vertical="center" shrinkToFit="1"/>
    </xf>
    <xf numFmtId="0" fontId="5" fillId="2" borderId="3" xfId="1" applyFont="1" applyFill="1" applyBorder="1" applyAlignment="1">
      <alignment horizontal="center" vertical="center" shrinkToFit="1"/>
    </xf>
    <xf numFmtId="0" fontId="5" fillId="7" borderId="3" xfId="1" applyFont="1" applyFill="1" applyBorder="1" applyAlignment="1">
      <alignment horizontal="center" vertical="center" shrinkToFit="1"/>
    </xf>
    <xf numFmtId="178" fontId="5" fillId="2" borderId="3" xfId="1" applyNumberFormat="1" applyFont="1" applyFill="1" applyBorder="1" applyAlignment="1">
      <alignment horizontal="center" vertical="center" shrinkToFit="1"/>
    </xf>
    <xf numFmtId="0" fontId="18" fillId="2" borderId="0" xfId="0" applyFont="1" applyFill="1">
      <alignment vertical="center"/>
    </xf>
    <xf numFmtId="0" fontId="18" fillId="0" borderId="0" xfId="0" applyFont="1">
      <alignment vertical="center"/>
    </xf>
    <xf numFmtId="0" fontId="18" fillId="2" borderId="3" xfId="1" applyFont="1" applyFill="1" applyBorder="1"/>
    <xf numFmtId="0" fontId="18" fillId="2" borderId="3" xfId="1" applyFont="1" applyFill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shrinkToFit="1"/>
    </xf>
    <xf numFmtId="0" fontId="5" fillId="5" borderId="3" xfId="1" applyFont="1" applyFill="1" applyBorder="1" applyAlignment="1">
      <alignment horizontal="center" vertical="center" shrinkToFit="1"/>
    </xf>
    <xf numFmtId="178" fontId="5" fillId="2" borderId="0" xfId="1" applyNumberFormat="1" applyFont="1" applyFill="1" applyAlignment="1">
      <alignment horizontal="center" vertical="center" shrinkToFit="1"/>
    </xf>
    <xf numFmtId="178" fontId="18" fillId="2" borderId="0" xfId="1" applyNumberFormat="1" applyFont="1" applyFill="1" applyAlignment="1">
      <alignment horizontal="center" vertical="center" shrinkToFit="1"/>
    </xf>
    <xf numFmtId="0" fontId="5" fillId="0" borderId="3" xfId="1" applyFont="1" applyBorder="1" applyAlignment="1">
      <alignment horizontal="center" vertical="center" shrinkToFit="1"/>
    </xf>
    <xf numFmtId="0" fontId="19" fillId="0" borderId="3" xfId="1" applyFont="1" applyBorder="1" applyAlignment="1">
      <alignment horizontal="center" vertical="center" shrinkToFit="1"/>
    </xf>
    <xf numFmtId="9" fontId="19" fillId="0" borderId="3" xfId="1" applyNumberFormat="1" applyFont="1" applyBorder="1" applyAlignment="1">
      <alignment horizontal="center" vertical="center" shrinkToFit="1"/>
    </xf>
    <xf numFmtId="9" fontId="5" fillId="0" borderId="3" xfId="1" applyNumberFormat="1" applyFont="1" applyBorder="1" applyAlignment="1">
      <alignment horizontal="center" vertical="center" shrinkToFit="1"/>
    </xf>
    <xf numFmtId="0" fontId="18" fillId="2" borderId="0" xfId="1" applyFont="1" applyFill="1" applyAlignment="1">
      <alignment horizontal="center" vertical="center"/>
    </xf>
    <xf numFmtId="0" fontId="18" fillId="2" borderId="0" xfId="1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8" fillId="0" borderId="3" xfId="1" applyFont="1" applyBorder="1" applyAlignment="1">
      <alignment horizontal="center" vertical="center" shrinkToFit="1"/>
    </xf>
    <xf numFmtId="0" fontId="5" fillId="2" borderId="6" xfId="1" applyFont="1" applyFill="1" applyBorder="1" applyAlignment="1">
      <alignment horizontal="center" vertical="center" shrinkToFit="1"/>
    </xf>
    <xf numFmtId="0" fontId="5" fillId="7" borderId="6" xfId="1" applyFont="1" applyFill="1" applyBorder="1" applyAlignment="1">
      <alignment horizontal="center" vertical="center" shrinkToFit="1"/>
    </xf>
    <xf numFmtId="0" fontId="5" fillId="2" borderId="9" xfId="1" applyFont="1" applyFill="1" applyBorder="1" applyAlignment="1">
      <alignment horizontal="center" vertical="center" shrinkToFit="1"/>
    </xf>
    <xf numFmtId="0" fontId="5" fillId="7" borderId="9" xfId="1" applyFont="1" applyFill="1" applyBorder="1" applyAlignment="1">
      <alignment horizontal="center" vertical="center" shrinkToFit="1"/>
    </xf>
    <xf numFmtId="0" fontId="18" fillId="2" borderId="6" xfId="1" applyFont="1" applyFill="1" applyBorder="1"/>
    <xf numFmtId="0" fontId="18" fillId="2" borderId="9" xfId="1" applyFont="1" applyFill="1" applyBorder="1" applyAlignment="1">
      <alignment horizontal="center" vertical="center" shrinkToFit="1"/>
    </xf>
    <xf numFmtId="9" fontId="21" fillId="0" borderId="3" xfId="1" applyNumberFormat="1" applyFont="1" applyBorder="1" applyAlignment="1">
      <alignment horizontal="left" vertical="center" shrinkToFit="1"/>
    </xf>
    <xf numFmtId="179" fontId="19" fillId="0" borderId="3" xfId="1" applyNumberFormat="1" applyFont="1" applyBorder="1" applyAlignment="1">
      <alignment horizontal="left" vertical="center" shrinkToFit="1"/>
    </xf>
    <xf numFmtId="0" fontId="21" fillId="0" borderId="3" xfId="1" applyFont="1" applyBorder="1" applyAlignment="1">
      <alignment horizontal="left" vertical="center" shrinkToFit="1"/>
    </xf>
    <xf numFmtId="0" fontId="22" fillId="0" borderId="3" xfId="1" applyFont="1" applyBorder="1" applyAlignment="1">
      <alignment horizontal="left" vertical="center" shrinkToFit="1"/>
    </xf>
    <xf numFmtId="0" fontId="5" fillId="0" borderId="3" xfId="1" applyFont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shrinkToFit="1"/>
    </xf>
    <xf numFmtId="0" fontId="5" fillId="0" borderId="6" xfId="1" applyFont="1" applyBorder="1" applyAlignment="1">
      <alignment horizontal="center" vertical="center" shrinkToFit="1"/>
    </xf>
    <xf numFmtId="0" fontId="5" fillId="0" borderId="9" xfId="1" applyFont="1" applyBorder="1" applyAlignment="1">
      <alignment horizontal="center" vertical="center" shrinkToFit="1"/>
    </xf>
    <xf numFmtId="0" fontId="5" fillId="2" borderId="3" xfId="1" applyFont="1" applyFill="1" applyBorder="1" applyAlignment="1">
      <alignment horizontal="center" vertical="center"/>
    </xf>
    <xf numFmtId="0" fontId="23" fillId="2" borderId="3" xfId="1" applyFont="1" applyFill="1" applyBorder="1" applyAlignment="1">
      <alignment horizontal="left" vertical="center"/>
    </xf>
    <xf numFmtId="0" fontId="23" fillId="0" borderId="3" xfId="1" applyFont="1" applyBorder="1" applyAlignment="1">
      <alignment horizontal="left" vertical="center"/>
    </xf>
    <xf numFmtId="9" fontId="5" fillId="2" borderId="3" xfId="1" applyNumberFormat="1" applyFont="1" applyFill="1" applyBorder="1" applyAlignment="1">
      <alignment horizontal="left" vertical="center" shrinkToFit="1"/>
    </xf>
    <xf numFmtId="9" fontId="5" fillId="0" borderId="3" xfId="1" applyNumberFormat="1" applyFont="1" applyBorder="1" applyAlignment="1">
      <alignment horizontal="left" vertical="center" shrinkToFit="1"/>
    </xf>
    <xf numFmtId="0" fontId="19" fillId="8" borderId="3" xfId="1" applyFont="1" applyFill="1" applyBorder="1" applyAlignment="1">
      <alignment horizontal="center" vertical="center" shrinkToFit="1"/>
    </xf>
    <xf numFmtId="0" fontId="18" fillId="8" borderId="4" xfId="1" applyFont="1" applyFill="1" applyBorder="1" applyAlignment="1">
      <alignment horizontal="center" vertical="center"/>
    </xf>
    <xf numFmtId="49" fontId="19" fillId="8" borderId="4" xfId="1" applyNumberFormat="1" applyFont="1" applyFill="1" applyBorder="1" applyAlignment="1">
      <alignment horizontal="center" vertical="center" shrinkToFit="1"/>
    </xf>
    <xf numFmtId="49" fontId="19" fillId="8" borderId="8" xfId="1" applyNumberFormat="1" applyFont="1" applyFill="1" applyBorder="1" applyAlignment="1">
      <alignment horizontal="center" vertical="center" shrinkToFit="1"/>
    </xf>
    <xf numFmtId="0" fontId="25" fillId="2" borderId="0" xfId="1" applyFont="1" applyFill="1" applyAlignment="1">
      <alignment horizontal="center" vertical="center" shrinkToFit="1"/>
    </xf>
    <xf numFmtId="0" fontId="25" fillId="2" borderId="7" xfId="1" applyFont="1" applyFill="1" applyBorder="1" applyAlignment="1">
      <alignment vertical="center"/>
    </xf>
    <xf numFmtId="0" fontId="25" fillId="2" borderId="0" xfId="1" applyFont="1" applyFill="1" applyAlignment="1">
      <alignment vertical="center"/>
    </xf>
    <xf numFmtId="0" fontId="25" fillId="0" borderId="0" xfId="1" applyFont="1" applyAlignment="1">
      <alignment vertical="center"/>
    </xf>
    <xf numFmtId="0" fontId="26" fillId="2" borderId="0" xfId="1" applyFont="1" applyFill="1" applyAlignment="1">
      <alignment horizontal="center" vertical="center" shrinkToFit="1"/>
    </xf>
    <xf numFmtId="0" fontId="5" fillId="9" borderId="3" xfId="1" applyFont="1" applyFill="1" applyBorder="1" applyAlignment="1">
      <alignment horizontal="center" vertical="center" shrinkToFit="1"/>
    </xf>
    <xf numFmtId="0" fontId="19" fillId="9" borderId="3" xfId="1" applyFont="1" applyFill="1" applyBorder="1" applyAlignment="1">
      <alignment horizontal="center" vertical="center" shrinkToFit="1"/>
    </xf>
    <xf numFmtId="49" fontId="5" fillId="9" borderId="10" xfId="1" applyNumberFormat="1" applyFont="1" applyFill="1" applyBorder="1" applyAlignment="1">
      <alignment horizontal="center" vertical="center" shrinkToFit="1"/>
    </xf>
    <xf numFmtId="49" fontId="5" fillId="9" borderId="4" xfId="1" applyNumberFormat="1" applyFont="1" applyFill="1" applyBorder="1" applyAlignment="1">
      <alignment horizontal="center" vertical="center" shrinkToFit="1"/>
    </xf>
    <xf numFmtId="49" fontId="19" fillId="9" borderId="4" xfId="1" applyNumberFormat="1" applyFont="1" applyFill="1" applyBorder="1" applyAlignment="1">
      <alignment horizontal="center" vertical="center" shrinkToFit="1"/>
    </xf>
    <xf numFmtId="0" fontId="5" fillId="9" borderId="4" xfId="1" applyFont="1" applyFill="1" applyBorder="1" applyAlignment="1">
      <alignment horizontal="center" vertical="center" shrinkToFit="1"/>
    </xf>
    <xf numFmtId="0" fontId="25" fillId="2" borderId="0" xfId="1" applyFont="1" applyFill="1" applyAlignment="1">
      <alignment horizontal="center"/>
    </xf>
    <xf numFmtId="0" fontId="26" fillId="2" borderId="0" xfId="1" applyFont="1" applyFill="1" applyAlignment="1">
      <alignment horizontal="center"/>
    </xf>
    <xf numFmtId="176" fontId="26" fillId="2" borderId="0" xfId="1" applyNumberFormat="1" applyFont="1" applyFill="1" applyAlignment="1">
      <alignment horizontal="center"/>
    </xf>
    <xf numFmtId="176" fontId="27" fillId="2" borderId="0" xfId="1" applyNumberFormat="1" applyFont="1" applyFill="1" applyAlignment="1">
      <alignment horizontal="center"/>
    </xf>
    <xf numFmtId="176" fontId="27" fillId="0" borderId="0" xfId="1" applyNumberFormat="1" applyFont="1" applyAlignment="1">
      <alignment horizontal="center"/>
    </xf>
    <xf numFmtId="0" fontId="27" fillId="2" borderId="0" xfId="1" applyFont="1" applyFill="1" applyAlignment="1">
      <alignment horizontal="center"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Alignment="1">
      <alignment horizontal="left" vertical="center"/>
    </xf>
    <xf numFmtId="177" fontId="26" fillId="2" borderId="0" xfId="1" applyNumberFormat="1" applyFont="1" applyFill="1" applyAlignment="1">
      <alignment horizontal="left" vertical="center"/>
    </xf>
    <xf numFmtId="0" fontId="26" fillId="0" borderId="0" xfId="1" applyFont="1" applyAlignment="1">
      <alignment horizontal="center" vertical="center"/>
    </xf>
    <xf numFmtId="0" fontId="26" fillId="2" borderId="0" xfId="1" applyFont="1" applyFill="1" applyAlignment="1">
      <alignment horizontal="center" vertical="center"/>
    </xf>
    <xf numFmtId="0" fontId="25" fillId="0" borderId="0" xfId="1" applyFont="1"/>
    <xf numFmtId="0" fontId="25" fillId="2" borderId="0" xfId="1" applyFont="1" applyFill="1"/>
    <xf numFmtId="9" fontId="24" fillId="10" borderId="3" xfId="1" applyNumberFormat="1" applyFont="1" applyFill="1" applyBorder="1" applyAlignment="1">
      <alignment horizontal="center" vertical="center" shrinkToFit="1"/>
    </xf>
    <xf numFmtId="0" fontId="19" fillId="10" borderId="3" xfId="1" applyFont="1" applyFill="1" applyBorder="1" applyAlignment="1">
      <alignment horizontal="left" vertical="center" shrinkToFit="1"/>
    </xf>
    <xf numFmtId="9" fontId="19" fillId="10" borderId="3" xfId="1" applyNumberFormat="1" applyFont="1" applyFill="1" applyBorder="1" applyAlignment="1">
      <alignment horizontal="left" vertical="center" shrinkToFit="1"/>
    </xf>
    <xf numFmtId="0" fontId="5" fillId="4" borderId="0" xfId="1" applyFont="1" applyFill="1" applyAlignment="1">
      <alignment horizontal="center" vertical="center" shrinkToFit="1"/>
    </xf>
    <xf numFmtId="0" fontId="5" fillId="5" borderId="0" xfId="1" applyFont="1" applyFill="1" applyAlignment="1">
      <alignment horizontal="center" vertical="center" shrinkToFit="1"/>
    </xf>
    <xf numFmtId="178" fontId="5" fillId="11" borderId="3" xfId="1" applyNumberFormat="1" applyFont="1" applyFill="1" applyBorder="1" applyAlignment="1">
      <alignment horizontal="center" vertical="center" shrinkToFit="1"/>
    </xf>
    <xf numFmtId="178" fontId="5" fillId="11" borderId="6" xfId="1" applyNumberFormat="1" applyFont="1" applyFill="1" applyBorder="1" applyAlignment="1">
      <alignment horizontal="center" vertical="center" shrinkToFit="1"/>
    </xf>
    <xf numFmtId="178" fontId="5" fillId="11" borderId="9" xfId="1" applyNumberFormat="1" applyFont="1" applyFill="1" applyBorder="1" applyAlignment="1">
      <alignment horizontal="center" vertical="center" shrinkToFit="1"/>
    </xf>
    <xf numFmtId="0" fontId="5" fillId="11" borderId="3" xfId="1" applyFont="1" applyFill="1" applyBorder="1" applyAlignment="1">
      <alignment horizontal="center" vertical="center" shrinkToFit="1"/>
    </xf>
    <xf numFmtId="176" fontId="28" fillId="0" borderId="0" xfId="1" applyNumberFormat="1" applyFont="1" applyAlignment="1">
      <alignment horizontal="center"/>
    </xf>
    <xf numFmtId="0" fontId="18" fillId="2" borderId="0" xfId="1" applyFont="1" applyFill="1" applyAlignment="1">
      <alignment horizontal="center" vertical="center" shrinkToFit="1"/>
    </xf>
    <xf numFmtId="0" fontId="18" fillId="2" borderId="11" xfId="1" applyFont="1" applyFill="1" applyBorder="1" applyAlignment="1">
      <alignment horizontal="center" vertical="center" shrinkToFit="1"/>
    </xf>
    <xf numFmtId="0" fontId="26" fillId="2" borderId="0" xfId="1" applyFont="1" applyFill="1" applyAlignment="1">
      <alignment horizontal="center" vertical="center" shrinkToFit="1"/>
    </xf>
    <xf numFmtId="0" fontId="5" fillId="7" borderId="6" xfId="1" applyFont="1" applyFill="1" applyBorder="1" applyAlignment="1">
      <alignment horizontal="center" vertical="center" readingOrder="1"/>
    </xf>
    <xf numFmtId="0" fontId="5" fillId="7" borderId="5" xfId="1" applyFont="1" applyFill="1" applyBorder="1" applyAlignment="1">
      <alignment horizontal="center" vertical="center" readingOrder="1"/>
    </xf>
    <xf numFmtId="0" fontId="5" fillId="2" borderId="6" xfId="1" applyFont="1" applyFill="1" applyBorder="1" applyAlignment="1">
      <alignment horizontal="center" vertical="center" readingOrder="1"/>
    </xf>
    <xf numFmtId="0" fontId="5" fillId="2" borderId="5" xfId="1" applyFont="1" applyFill="1" applyBorder="1" applyAlignment="1">
      <alignment horizontal="center" vertical="center" readingOrder="1"/>
    </xf>
  </cellXfs>
  <cellStyles count="2">
    <cellStyle name="一般" xfId="0" builtinId="0"/>
    <cellStyle name="一般 2" xfId="1" xr:uid="{00000000-0005-0000-0000-000001000000}"/>
  </cellStyles>
  <dxfs count="5"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CCFF"/>
      <color rgb="FFFF99CC"/>
      <color rgb="FFCCCCFF"/>
      <color rgb="FF99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Z203"/>
  <sheetViews>
    <sheetView tabSelected="1" zoomScale="40" zoomScaleNormal="40" workbookViewId="0">
      <pane ySplit="3" topLeftCell="A4" activePane="bottomLeft" state="frozen"/>
      <selection activeCell="A3" sqref="A3"/>
      <selection pane="bottomLeft" activeCell="Q10" sqref="Q10"/>
    </sheetView>
  </sheetViews>
  <sheetFormatPr baseColWidth="10" defaultColWidth="12.6640625" defaultRowHeight="33"/>
  <cols>
    <col min="1" max="1" width="7.83203125" style="25" customWidth="1"/>
    <col min="2" max="2" width="6.6640625" style="40" customWidth="1"/>
    <col min="3" max="3" width="20.83203125" style="25" customWidth="1"/>
    <col min="4" max="30" width="12.83203125" style="25" customWidth="1"/>
    <col min="31" max="32" width="12.83203125" style="26" customWidth="1"/>
    <col min="33" max="37" width="12.83203125" style="25" customWidth="1"/>
    <col min="38" max="39" width="12.83203125" style="26" customWidth="1"/>
    <col min="40" max="43" width="12.83203125" style="25" customWidth="1"/>
    <col min="44" max="46" width="12.83203125" style="26" customWidth="1"/>
    <col min="47" max="51" width="12.83203125" style="25" customWidth="1"/>
    <col min="52" max="53" width="12.83203125" style="26" customWidth="1"/>
    <col min="54" max="55" width="12.83203125" style="25" customWidth="1"/>
    <col min="56" max="56" width="20.83203125" style="25" customWidth="1"/>
    <col min="57" max="60" width="8.83203125" style="25" customWidth="1"/>
    <col min="61" max="86" width="8.83203125" style="25" hidden="1" customWidth="1"/>
    <col min="87" max="87" width="14.83203125" style="26" customWidth="1"/>
    <col min="88" max="88" width="14.83203125" style="25" customWidth="1"/>
    <col min="89" max="89" width="12.6640625" style="26" customWidth="1"/>
    <col min="90" max="156" width="12.6640625" style="26"/>
    <col min="157" max="16384" width="12.6640625" style="25"/>
  </cols>
  <sheetData>
    <row r="1" spans="1:156" s="67" customFormat="1" ht="40" customHeight="1">
      <c r="A1" s="65"/>
      <c r="B1" s="65"/>
      <c r="C1" s="101" t="s">
        <v>217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66"/>
      <c r="CI1" s="68"/>
      <c r="CJ1" s="69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/>
      <c r="ES1" s="68"/>
      <c r="ET1" s="68"/>
      <c r="EU1" s="68"/>
      <c r="EV1" s="68"/>
      <c r="EW1" s="68"/>
      <c r="EX1" s="68"/>
      <c r="EY1" s="68"/>
      <c r="EZ1" s="68"/>
    </row>
    <row r="2" spans="1:156" s="88" customFormat="1" ht="30" customHeight="1">
      <c r="A2" s="76"/>
      <c r="B2" s="76"/>
      <c r="C2" s="77" t="s">
        <v>194</v>
      </c>
      <c r="D2" s="78" t="s">
        <v>216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9"/>
      <c r="V2" s="79"/>
      <c r="W2" s="79"/>
      <c r="X2" s="79"/>
      <c r="Y2" s="79"/>
      <c r="Z2" s="78" t="s">
        <v>215</v>
      </c>
      <c r="AA2" s="78"/>
      <c r="AB2" s="79"/>
      <c r="AC2" s="79"/>
      <c r="AD2" s="79"/>
      <c r="AE2" s="80"/>
      <c r="AF2" s="80"/>
      <c r="AG2" s="81"/>
      <c r="AH2" s="81"/>
      <c r="AI2" s="81"/>
      <c r="AJ2" s="79"/>
      <c r="AK2" s="79"/>
      <c r="AL2" s="80"/>
      <c r="AM2" s="80"/>
      <c r="AN2" s="79"/>
      <c r="AO2" s="79"/>
      <c r="AP2" s="79"/>
      <c r="AQ2" s="79"/>
      <c r="AR2" s="98" t="s">
        <v>214</v>
      </c>
      <c r="AS2" s="79"/>
      <c r="AT2" s="80"/>
      <c r="AU2" s="79"/>
      <c r="AV2" s="79"/>
      <c r="AW2" s="79"/>
      <c r="AX2" s="79"/>
      <c r="AY2" s="79"/>
      <c r="AZ2" s="80"/>
      <c r="BA2" s="80"/>
      <c r="BB2" s="79"/>
      <c r="BC2" s="79"/>
      <c r="BD2" s="77" t="s">
        <v>194</v>
      </c>
      <c r="BE2" s="82"/>
      <c r="BF2" s="83"/>
      <c r="BG2" s="83"/>
      <c r="BH2" s="83"/>
      <c r="BI2" s="84" t="s">
        <v>0</v>
      </c>
      <c r="BJ2" s="84"/>
      <c r="BK2" s="84"/>
      <c r="BL2" s="84" t="s">
        <v>1</v>
      </c>
      <c r="BM2" s="84"/>
      <c r="BN2" s="84"/>
      <c r="BO2" s="83" t="s">
        <v>2</v>
      </c>
      <c r="BP2" s="83"/>
      <c r="BQ2" s="83"/>
      <c r="BR2" s="84" t="s">
        <v>3</v>
      </c>
      <c r="BS2" s="84"/>
      <c r="BT2" s="83"/>
      <c r="BU2" s="83"/>
      <c r="BV2" s="83" t="s">
        <v>4</v>
      </c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5"/>
      <c r="CJ2" s="86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</row>
    <row r="3" spans="1:156" s="3" customFormat="1" ht="40" customHeight="1">
      <c r="A3" s="1"/>
      <c r="B3" s="28"/>
      <c r="C3" s="53" t="s">
        <v>5</v>
      </c>
      <c r="D3" s="61">
        <v>10</v>
      </c>
      <c r="E3" s="61">
        <v>11</v>
      </c>
      <c r="F3" s="61">
        <v>12</v>
      </c>
      <c r="G3" s="61">
        <v>13</v>
      </c>
      <c r="H3" s="61">
        <v>14</v>
      </c>
      <c r="I3" s="61">
        <v>15</v>
      </c>
      <c r="J3" s="61">
        <v>16</v>
      </c>
      <c r="K3" s="61">
        <v>17</v>
      </c>
      <c r="L3" s="61">
        <v>18</v>
      </c>
      <c r="M3" s="61">
        <v>19</v>
      </c>
      <c r="N3" s="61">
        <v>20</v>
      </c>
      <c r="O3" s="61">
        <v>21</v>
      </c>
      <c r="P3" s="61">
        <v>22</v>
      </c>
      <c r="Q3" s="61">
        <v>23</v>
      </c>
      <c r="R3" s="61">
        <v>24</v>
      </c>
      <c r="S3" s="61">
        <v>25</v>
      </c>
      <c r="T3" s="61">
        <v>26</v>
      </c>
      <c r="U3" s="61">
        <v>27</v>
      </c>
      <c r="V3" s="61">
        <v>28</v>
      </c>
      <c r="W3" s="61">
        <v>29</v>
      </c>
      <c r="X3" s="61">
        <v>30</v>
      </c>
      <c r="Y3" s="61">
        <v>31</v>
      </c>
      <c r="Z3" s="70">
        <v>1</v>
      </c>
      <c r="AA3" s="70">
        <v>2</v>
      </c>
      <c r="AB3" s="71">
        <v>3</v>
      </c>
      <c r="AC3" s="71">
        <v>4</v>
      </c>
      <c r="AD3" s="71">
        <v>5</v>
      </c>
      <c r="AE3" s="71">
        <v>6</v>
      </c>
      <c r="AF3" s="71">
        <v>7</v>
      </c>
      <c r="AG3" s="71">
        <v>8</v>
      </c>
      <c r="AH3" s="71">
        <v>9</v>
      </c>
      <c r="AI3" s="71">
        <v>10</v>
      </c>
      <c r="AJ3" s="71">
        <v>11</v>
      </c>
      <c r="AK3" s="71">
        <v>12</v>
      </c>
      <c r="AL3" s="71">
        <v>13</v>
      </c>
      <c r="AM3" s="71">
        <v>14</v>
      </c>
      <c r="AN3" s="71">
        <v>15</v>
      </c>
      <c r="AO3" s="71">
        <v>16</v>
      </c>
      <c r="AP3" s="71">
        <v>17</v>
      </c>
      <c r="AQ3" s="71">
        <v>18</v>
      </c>
      <c r="AR3" s="71">
        <v>19</v>
      </c>
      <c r="AS3" s="71">
        <v>20</v>
      </c>
      <c r="AT3" s="71">
        <v>21</v>
      </c>
      <c r="AU3" s="71">
        <v>22</v>
      </c>
      <c r="AV3" s="71">
        <v>23</v>
      </c>
      <c r="AW3" s="71">
        <v>24</v>
      </c>
      <c r="AX3" s="71">
        <v>25</v>
      </c>
      <c r="AY3" s="71">
        <v>26</v>
      </c>
      <c r="AZ3" s="71">
        <v>27</v>
      </c>
      <c r="BA3" s="71">
        <v>28</v>
      </c>
      <c r="BB3" s="71">
        <v>29</v>
      </c>
      <c r="BC3" s="71">
        <v>30</v>
      </c>
      <c r="BD3" s="70" t="s">
        <v>5</v>
      </c>
      <c r="BE3" s="56" t="s">
        <v>6</v>
      </c>
      <c r="BF3" s="56" t="s">
        <v>7</v>
      </c>
      <c r="BG3" s="56" t="s">
        <v>8</v>
      </c>
      <c r="BH3" s="57" t="s">
        <v>9</v>
      </c>
      <c r="BI3" s="57" t="s">
        <v>10</v>
      </c>
      <c r="BJ3" s="57" t="s">
        <v>11</v>
      </c>
      <c r="BK3" s="57" t="s">
        <v>12</v>
      </c>
      <c r="BL3" s="57" t="s">
        <v>192</v>
      </c>
      <c r="BM3" s="57" t="s">
        <v>193</v>
      </c>
      <c r="BN3" s="57" t="s">
        <v>12</v>
      </c>
      <c r="BO3" s="57" t="s">
        <v>13</v>
      </c>
      <c r="BP3" s="57" t="s">
        <v>14</v>
      </c>
      <c r="BQ3" s="57" t="s">
        <v>15</v>
      </c>
      <c r="BR3" s="57" t="s">
        <v>192</v>
      </c>
      <c r="BS3" s="57" t="s">
        <v>193</v>
      </c>
      <c r="BT3" s="57" t="s">
        <v>12</v>
      </c>
      <c r="BU3" s="57" t="s">
        <v>16</v>
      </c>
      <c r="BV3" s="57" t="s">
        <v>17</v>
      </c>
      <c r="BW3" s="57" t="s">
        <v>18</v>
      </c>
      <c r="BX3" s="57" t="s">
        <v>19</v>
      </c>
      <c r="BY3" s="57" t="s">
        <v>20</v>
      </c>
      <c r="BZ3" s="57" t="s">
        <v>21</v>
      </c>
      <c r="CA3" s="57" t="s">
        <v>22</v>
      </c>
      <c r="CB3" s="57" t="s">
        <v>23</v>
      </c>
      <c r="CC3" s="57" t="s">
        <v>24</v>
      </c>
      <c r="CD3" s="57" t="s">
        <v>25</v>
      </c>
      <c r="CE3" s="57" t="s">
        <v>26</v>
      </c>
      <c r="CF3" s="57" t="s">
        <v>27</v>
      </c>
      <c r="CG3" s="57" t="s">
        <v>28</v>
      </c>
      <c r="CH3" s="57"/>
      <c r="CI3" s="58" t="s">
        <v>29</v>
      </c>
      <c r="CJ3" s="57" t="s">
        <v>30</v>
      </c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</row>
    <row r="4" spans="1:156" s="3" customFormat="1" ht="42.75" customHeight="1">
      <c r="A4" s="1"/>
      <c r="B4" s="28"/>
      <c r="C4" s="22" t="s">
        <v>31</v>
      </c>
      <c r="D4" s="35" t="s">
        <v>32</v>
      </c>
      <c r="E4" s="35" t="s">
        <v>33</v>
      </c>
      <c r="F4" s="35" t="s">
        <v>34</v>
      </c>
      <c r="G4" s="35" t="s">
        <v>35</v>
      </c>
      <c r="H4" s="35" t="s">
        <v>36</v>
      </c>
      <c r="I4" s="35" t="s">
        <v>37</v>
      </c>
      <c r="J4" s="35" t="s">
        <v>38</v>
      </c>
      <c r="K4" s="35" t="s">
        <v>32</v>
      </c>
      <c r="L4" s="35" t="s">
        <v>33</v>
      </c>
      <c r="M4" s="35" t="s">
        <v>34</v>
      </c>
      <c r="N4" s="35" t="s">
        <v>35</v>
      </c>
      <c r="O4" s="35" t="s">
        <v>36</v>
      </c>
      <c r="P4" s="35" t="s">
        <v>37</v>
      </c>
      <c r="Q4" s="35" t="s">
        <v>38</v>
      </c>
      <c r="R4" s="35" t="s">
        <v>32</v>
      </c>
      <c r="S4" s="35" t="s">
        <v>33</v>
      </c>
      <c r="T4" s="35" t="s">
        <v>34</v>
      </c>
      <c r="U4" s="35" t="s">
        <v>35</v>
      </c>
      <c r="V4" s="35" t="s">
        <v>36</v>
      </c>
      <c r="W4" s="35" t="s">
        <v>37</v>
      </c>
      <c r="X4" s="35" t="s">
        <v>38</v>
      </c>
      <c r="Y4" s="35" t="s">
        <v>32</v>
      </c>
      <c r="Z4" s="5" t="s">
        <v>39</v>
      </c>
      <c r="AA4" s="5" t="s">
        <v>40</v>
      </c>
      <c r="AB4" s="5" t="s">
        <v>41</v>
      </c>
      <c r="AC4" s="5" t="s">
        <v>42</v>
      </c>
      <c r="AD4" s="5" t="s">
        <v>43</v>
      </c>
      <c r="AE4" s="35" t="s">
        <v>44</v>
      </c>
      <c r="AF4" s="35" t="s">
        <v>45</v>
      </c>
      <c r="AG4" s="5" t="s">
        <v>39</v>
      </c>
      <c r="AH4" s="5" t="s">
        <v>40</v>
      </c>
      <c r="AI4" s="5" t="s">
        <v>41</v>
      </c>
      <c r="AJ4" s="5" t="s">
        <v>42</v>
      </c>
      <c r="AK4" s="5" t="s">
        <v>43</v>
      </c>
      <c r="AL4" s="35" t="s">
        <v>44</v>
      </c>
      <c r="AM4" s="35" t="s">
        <v>45</v>
      </c>
      <c r="AN4" s="5" t="s">
        <v>39</v>
      </c>
      <c r="AO4" s="5" t="s">
        <v>40</v>
      </c>
      <c r="AP4" s="5" t="s">
        <v>41</v>
      </c>
      <c r="AQ4" s="5" t="s">
        <v>42</v>
      </c>
      <c r="AR4" s="35" t="s">
        <v>43</v>
      </c>
      <c r="AS4" s="35" t="s">
        <v>44</v>
      </c>
      <c r="AT4" s="35" t="s">
        <v>45</v>
      </c>
      <c r="AU4" s="5" t="s">
        <v>39</v>
      </c>
      <c r="AV4" s="5" t="s">
        <v>40</v>
      </c>
      <c r="AW4" s="5" t="s">
        <v>41</v>
      </c>
      <c r="AX4" s="5" t="s">
        <v>42</v>
      </c>
      <c r="AY4" s="5" t="s">
        <v>43</v>
      </c>
      <c r="AZ4" s="35" t="s">
        <v>44</v>
      </c>
      <c r="BA4" s="35" t="s">
        <v>45</v>
      </c>
      <c r="BB4" s="5" t="s">
        <v>39</v>
      </c>
      <c r="BC4" s="5" t="s">
        <v>40</v>
      </c>
      <c r="BD4" s="22" t="s">
        <v>31</v>
      </c>
      <c r="BE4" s="28"/>
      <c r="BF4" s="28"/>
      <c r="BG4" s="28"/>
      <c r="BH4" s="22"/>
      <c r="BI4" s="6"/>
      <c r="BJ4" s="6"/>
      <c r="BK4" s="22"/>
      <c r="BL4" s="6"/>
      <c r="BM4" s="6"/>
      <c r="BN4" s="22"/>
      <c r="BO4" s="22"/>
      <c r="BP4" s="22"/>
      <c r="BQ4" s="22"/>
      <c r="BR4" s="6"/>
      <c r="BS4" s="6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52"/>
      <c r="CJ4" s="29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</row>
    <row r="5" spans="1:156" s="3" customFormat="1" ht="49.5" customHeight="1">
      <c r="A5" s="38"/>
      <c r="B5" s="22">
        <v>1</v>
      </c>
      <c r="C5" s="34" t="s">
        <v>202</v>
      </c>
      <c r="D5" s="20" t="s">
        <v>7</v>
      </c>
      <c r="E5" s="21" t="s">
        <v>7</v>
      </c>
      <c r="F5" s="21" t="s">
        <v>48</v>
      </c>
      <c r="G5" s="20" t="s">
        <v>46</v>
      </c>
      <c r="H5" s="21" t="s">
        <v>48</v>
      </c>
      <c r="I5" s="21" t="s">
        <v>7</v>
      </c>
      <c r="J5" s="21" t="s">
        <v>7</v>
      </c>
      <c r="K5" s="21" t="s">
        <v>46</v>
      </c>
      <c r="L5" s="21" t="s">
        <v>7</v>
      </c>
      <c r="M5" s="20" t="s">
        <v>7</v>
      </c>
      <c r="N5" s="21" t="s">
        <v>48</v>
      </c>
      <c r="O5" s="21" t="s">
        <v>7</v>
      </c>
      <c r="P5" s="21" t="s">
        <v>7</v>
      </c>
      <c r="Q5" s="21" t="s">
        <v>56</v>
      </c>
      <c r="R5" s="21" t="s">
        <v>46</v>
      </c>
      <c r="S5" s="21" t="s">
        <v>60</v>
      </c>
      <c r="T5" s="21" t="s">
        <v>7</v>
      </c>
      <c r="U5" s="21" t="s">
        <v>7</v>
      </c>
      <c r="V5" s="21" t="s">
        <v>7</v>
      </c>
      <c r="W5" s="21" t="s">
        <v>7</v>
      </c>
      <c r="X5" s="21" t="s">
        <v>48</v>
      </c>
      <c r="Y5" s="21" t="s">
        <v>7</v>
      </c>
      <c r="Z5" s="8" t="s">
        <v>53</v>
      </c>
      <c r="AA5" s="8" t="s">
        <v>53</v>
      </c>
      <c r="AB5" s="7" t="s">
        <v>53</v>
      </c>
      <c r="AC5" s="7" t="s">
        <v>53</v>
      </c>
      <c r="AD5" s="7"/>
      <c r="AE5" s="20"/>
      <c r="AF5" s="21" t="s">
        <v>53</v>
      </c>
      <c r="AG5" s="8" t="s">
        <v>53</v>
      </c>
      <c r="AH5" s="9"/>
      <c r="AI5" s="8" t="s">
        <v>53</v>
      </c>
      <c r="AJ5" s="8" t="s">
        <v>53</v>
      </c>
      <c r="AK5" s="9"/>
      <c r="AL5" s="21"/>
      <c r="AM5" s="21" t="s">
        <v>53</v>
      </c>
      <c r="AN5" s="7" t="s">
        <v>53</v>
      </c>
      <c r="AO5" s="8" t="s">
        <v>53</v>
      </c>
      <c r="AP5" s="8" t="s">
        <v>53</v>
      </c>
      <c r="AQ5" s="9"/>
      <c r="AR5" s="21" t="s">
        <v>53</v>
      </c>
      <c r="AS5" s="21" t="s">
        <v>53</v>
      </c>
      <c r="AT5" s="21" t="s">
        <v>7</v>
      </c>
      <c r="AU5" s="9"/>
      <c r="AV5" s="8"/>
      <c r="AW5" s="8" t="s">
        <v>53</v>
      </c>
      <c r="AX5" s="8" t="s">
        <v>53</v>
      </c>
      <c r="AY5" s="8"/>
      <c r="AZ5" s="21"/>
      <c r="BA5" s="21"/>
      <c r="BB5" s="8" t="s">
        <v>53</v>
      </c>
      <c r="BC5" s="8" t="s">
        <v>53</v>
      </c>
      <c r="BD5" s="35" t="s">
        <v>135</v>
      </c>
      <c r="BE5" s="22">
        <f>COUNTIF(Z5:BC5,"D*")</f>
        <v>0</v>
      </c>
      <c r="BF5" s="30">
        <f>COUNTIF(Z5:BC5,"E*")</f>
        <v>19</v>
      </c>
      <c r="BG5" s="22">
        <f>COUNTIF(Z5:BC5,"N*")</f>
        <v>0</v>
      </c>
      <c r="BH5" s="22">
        <f>SUM(BE5:BG5)</f>
        <v>19</v>
      </c>
      <c r="BI5" s="22">
        <f>COUNTIF(D5:Y5, "例")</f>
        <v>3</v>
      </c>
      <c r="BJ5" s="22">
        <f>COUNTIF(D5:Y5, "*息*")</f>
        <v>4</v>
      </c>
      <c r="BK5" s="22">
        <f>BI5+BJ5</f>
        <v>7</v>
      </c>
      <c r="BL5" s="22">
        <f>COUNTIF(Z5:AE5, "例")</f>
        <v>0</v>
      </c>
      <c r="BM5" s="22">
        <f>COUNTIF(Z5:AE5,"*息*")</f>
        <v>0</v>
      </c>
      <c r="BN5" s="22">
        <f>BL5+BM5</f>
        <v>0</v>
      </c>
      <c r="BO5" s="22">
        <f>BI5+BL5</f>
        <v>3</v>
      </c>
      <c r="BP5" s="22">
        <f>BJ5+BM5</f>
        <v>4</v>
      </c>
      <c r="BQ5" s="22">
        <f>BK5+BN5</f>
        <v>7</v>
      </c>
      <c r="BR5" s="22">
        <f>COUNTIF(AF5:BC5,"例")</f>
        <v>0</v>
      </c>
      <c r="BS5" s="22">
        <f>COUNTIF(AF5:BC5,"*息*")</f>
        <v>0</v>
      </c>
      <c r="BT5" s="22">
        <f>SUM(BR5+BS5)</f>
        <v>0</v>
      </c>
      <c r="BU5" s="22">
        <f>COUNTIF(Z5:BC5,"*國*")</f>
        <v>0</v>
      </c>
      <c r="BV5" s="22">
        <f>COUNTIF(Z5:BC5,"例")</f>
        <v>0</v>
      </c>
      <c r="BW5" s="22">
        <f>COUNTIF(Z5:BC5,"息")</f>
        <v>0</v>
      </c>
      <c r="BX5" s="22">
        <f>COUNTIF(Z5:BC5,"國")</f>
        <v>0</v>
      </c>
      <c r="BY5" s="22">
        <f>COUNTIF(Z5:BC5,"補*")</f>
        <v>0</v>
      </c>
      <c r="BZ5" s="22">
        <f>COUNTIF(Z5:BC5,"特*")</f>
        <v>0</v>
      </c>
      <c r="CA5" s="22">
        <f>COUNTIF(Z5:BC5,"喪*")</f>
        <v>0</v>
      </c>
      <c r="CB5" s="22">
        <f>COUNTIF(Z5:BC5,"病")</f>
        <v>0</v>
      </c>
      <c r="CC5" s="22">
        <f>COUNTIF(Z5:BC5,"空")</f>
        <v>0</v>
      </c>
      <c r="CD5" s="22">
        <f>COUNTIF(Z5:BC5,"婚*")</f>
        <v>0</v>
      </c>
      <c r="CE5" s="22">
        <f>COUNTIF(Z5:BC5,"產檢")</f>
        <v>0</v>
      </c>
      <c r="CF5" s="22">
        <f>COUNTIF(Z5:BC5,"產*")</f>
        <v>0</v>
      </c>
      <c r="CG5" s="22">
        <f>COUNTIF(Z5:BC5,"公")</f>
        <v>0</v>
      </c>
      <c r="CH5" s="22">
        <f>COUNTIF(Z5:BC5, "")</f>
        <v>11</v>
      </c>
      <c r="CI5" s="34">
        <f>SUM(BV5:CH5)</f>
        <v>11</v>
      </c>
      <c r="CJ5" s="24">
        <f>COUNTIF(AE5:AF5,"")+COUNTIF(AL5:AM5,"")+COUNTIF(AR5:AT5,"")+ COUNTIF(AZ5:BA5,"")+ COUNTIF(AE5:AF5,"例")+COUNTIF(AL5:AM5,"例")+COUNTIF(AR5:AT5,"例")+COUNTIF(AZ5:BA5,"例")+ COUNTIF(AE5:AF5,"息")+COUNTIF(AL5:AM5,"息")+COUNTIF(AR5:AT5,"息")+ COUNTIF(AZ5:BA5,"息")+COUNTIF(AE5:AF5,"特")+COUNTIF(AL5:AM5,"特")+COUNTIF(AR5:AT5,"特")+COUNTIF(AZ5:BA5,"特")+COUNTIF(AE5:AF5,"補*")+COUNTIF(AL5:AM5,"補*")+COUNTIF(AR5:AT5,"補*")+COUNTIF(AZ5:BA5,"補*")+COUNTIF(AE5:AF5,"喪")+COUNTIF(AL5:AM5,"喪")+COUNTIF(AR5:AT5,"喪")+COUNTIF(AZ5:BA5,"喪")</f>
        <v>4</v>
      </c>
      <c r="CK5" s="92"/>
      <c r="CL5" s="68" t="s">
        <v>212</v>
      </c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</row>
    <row r="6" spans="1:156" s="3" customFormat="1" ht="49.5" customHeight="1">
      <c r="A6" s="38"/>
      <c r="B6" s="22">
        <v>2</v>
      </c>
      <c r="C6" s="34" t="s">
        <v>203</v>
      </c>
      <c r="D6" s="21" t="s">
        <v>51</v>
      </c>
      <c r="E6" s="21" t="s">
        <v>52</v>
      </c>
      <c r="F6" s="21" t="s">
        <v>46</v>
      </c>
      <c r="G6" s="21" t="s">
        <v>51</v>
      </c>
      <c r="H6" s="21" t="s">
        <v>51</v>
      </c>
      <c r="I6" s="21" t="s">
        <v>52</v>
      </c>
      <c r="J6" s="21" t="s">
        <v>51</v>
      </c>
      <c r="K6" s="21" t="s">
        <v>46</v>
      </c>
      <c r="L6" s="21" t="s">
        <v>48</v>
      </c>
      <c r="M6" s="20" t="s">
        <v>51</v>
      </c>
      <c r="N6" s="21" t="s">
        <v>51</v>
      </c>
      <c r="O6" s="21" t="s">
        <v>48</v>
      </c>
      <c r="P6" s="20" t="s">
        <v>48</v>
      </c>
      <c r="Q6" s="20" t="s">
        <v>51</v>
      </c>
      <c r="R6" s="20" t="s">
        <v>51</v>
      </c>
      <c r="S6" s="21" t="s">
        <v>51</v>
      </c>
      <c r="T6" s="21" t="s">
        <v>46</v>
      </c>
      <c r="U6" s="21" t="s">
        <v>47</v>
      </c>
      <c r="V6" s="21" t="s">
        <v>47</v>
      </c>
      <c r="W6" s="20" t="s">
        <v>51</v>
      </c>
      <c r="X6" s="20" t="s">
        <v>51</v>
      </c>
      <c r="Y6" s="20" t="s">
        <v>46</v>
      </c>
      <c r="Z6" s="8" t="s">
        <v>50</v>
      </c>
      <c r="AA6" s="8" t="s">
        <v>50</v>
      </c>
      <c r="AB6" s="8" t="s">
        <v>50</v>
      </c>
      <c r="AC6" s="8" t="s">
        <v>50</v>
      </c>
      <c r="AD6" s="8"/>
      <c r="AE6" s="21" t="s">
        <v>50</v>
      </c>
      <c r="AF6" s="21" t="s">
        <v>50</v>
      </c>
      <c r="AG6" s="8"/>
      <c r="AH6" s="8" t="s">
        <v>50</v>
      </c>
      <c r="AI6" s="8" t="s">
        <v>50</v>
      </c>
      <c r="AJ6" s="9"/>
      <c r="AK6" s="8" t="s">
        <v>50</v>
      </c>
      <c r="AL6" s="21" t="s">
        <v>50</v>
      </c>
      <c r="AM6" s="21"/>
      <c r="AN6" s="8" t="s">
        <v>50</v>
      </c>
      <c r="AO6" s="8" t="s">
        <v>50</v>
      </c>
      <c r="AP6" s="8" t="s">
        <v>50</v>
      </c>
      <c r="AQ6" s="8"/>
      <c r="AR6" s="21" t="s">
        <v>50</v>
      </c>
      <c r="AS6" s="21" t="s">
        <v>50</v>
      </c>
      <c r="AT6" s="21"/>
      <c r="AU6" s="8" t="s">
        <v>50</v>
      </c>
      <c r="AV6" s="8" t="s">
        <v>50</v>
      </c>
      <c r="AW6" s="9"/>
      <c r="AX6" s="9"/>
      <c r="AY6" s="9"/>
      <c r="AZ6" s="20"/>
      <c r="BA6" s="20"/>
      <c r="BB6" s="10"/>
      <c r="BC6" s="9"/>
      <c r="BD6" s="34" t="s">
        <v>122</v>
      </c>
      <c r="BE6" s="22">
        <f>COUNTIF(Z6:BC6,"D*")</f>
        <v>17</v>
      </c>
      <c r="BF6" s="22">
        <f t="shared" ref="BF6:BF67" si="0">COUNTIF(Z6:BC6,"E*")</f>
        <v>0</v>
      </c>
      <c r="BG6" s="22">
        <f t="shared" ref="BG6:BG67" si="1">COUNTIF(Z6:BC6,"N*")</f>
        <v>0</v>
      </c>
      <c r="BH6" s="22">
        <f t="shared" ref="BH6:BH67" si="2">SUM(BE6:BG6)</f>
        <v>17</v>
      </c>
      <c r="BI6" s="22">
        <f t="shared" ref="BI6:BI67" si="3">COUNTIF(D6:Y6, "例")</f>
        <v>4</v>
      </c>
      <c r="BJ6" s="22">
        <f t="shared" ref="BJ6:BJ67" si="4">COUNTIF(D6:Y6, "*息*")</f>
        <v>3</v>
      </c>
      <c r="BK6" s="22">
        <f t="shared" ref="BK6:BK67" si="5">BI6+BJ6</f>
        <v>7</v>
      </c>
      <c r="BL6" s="22">
        <f t="shared" ref="BL6:BL67" si="6">COUNTIF(Z6:AE6, "例")</f>
        <v>0</v>
      </c>
      <c r="BM6" s="22">
        <f t="shared" ref="BM6:BM67" si="7">COUNTIF(Z6:AE6,"*息*")</f>
        <v>0</v>
      </c>
      <c r="BN6" s="22">
        <f t="shared" ref="BN6:BN67" si="8">BL6+BM6</f>
        <v>0</v>
      </c>
      <c r="BO6" s="22">
        <f t="shared" ref="BO6:BQ64" si="9">BI6+BL6</f>
        <v>4</v>
      </c>
      <c r="BP6" s="22">
        <f t="shared" si="9"/>
        <v>3</v>
      </c>
      <c r="BQ6" s="22">
        <f t="shared" si="9"/>
        <v>7</v>
      </c>
      <c r="BR6" s="22">
        <f t="shared" ref="BR6:BR67" si="10">COUNTIF(AF6:BC6,"例")</f>
        <v>0</v>
      </c>
      <c r="BS6" s="22">
        <f t="shared" ref="BS6:BS67" si="11">COUNTIF(AF6:BC6,"*息*")</f>
        <v>0</v>
      </c>
      <c r="BT6" s="22">
        <f t="shared" ref="BT6:BT67" si="12">SUM(BR6+BS6)</f>
        <v>0</v>
      </c>
      <c r="BU6" s="22">
        <f t="shared" ref="BU6:BU67" si="13">COUNTIF(Z6:BC6,"*國*")</f>
        <v>0</v>
      </c>
      <c r="BV6" s="22">
        <f t="shared" ref="BV6:BV67" si="14">COUNTIF(Z6:BC6,"例")</f>
        <v>0</v>
      </c>
      <c r="BW6" s="22">
        <f t="shared" ref="BW6:BW67" si="15">COUNTIF(Z6:BC6,"息")</f>
        <v>0</v>
      </c>
      <c r="BX6" s="22">
        <f t="shared" ref="BX6:BX67" si="16">COUNTIF(Z6:BC6,"國")</f>
        <v>0</v>
      </c>
      <c r="BY6" s="22">
        <f t="shared" ref="BY6:BY67" si="17">COUNTIF(Z6:BC6,"補*")</f>
        <v>0</v>
      </c>
      <c r="BZ6" s="22">
        <f t="shared" ref="BZ6:BZ67" si="18">COUNTIF(Z6:BC6,"特*")</f>
        <v>0</v>
      </c>
      <c r="CA6" s="22">
        <f t="shared" ref="CA6:CA67" si="19">COUNTIF(Z6:BC6,"喪*")</f>
        <v>0</v>
      </c>
      <c r="CB6" s="22">
        <f t="shared" ref="CB6:CB67" si="20">COUNTIF(Z6:BC6,"病")</f>
        <v>0</v>
      </c>
      <c r="CC6" s="22">
        <f t="shared" ref="CC6:CC67" si="21">COUNTIF(Z6:BC6,"空")</f>
        <v>0</v>
      </c>
      <c r="CD6" s="22">
        <f t="shared" ref="CD6:CD67" si="22">COUNTIF(Z6:BC6,"婚*")</f>
        <v>0</v>
      </c>
      <c r="CE6" s="22">
        <f t="shared" ref="CE6:CE67" si="23">COUNTIF(Z6:BC6,"產檢")</f>
        <v>0</v>
      </c>
      <c r="CF6" s="22">
        <f t="shared" ref="CF6:CF67" si="24">COUNTIF(Z6:BC6,"產*")</f>
        <v>0</v>
      </c>
      <c r="CG6" s="22">
        <f t="shared" ref="CG6:CG67" si="25">COUNTIF(Z6:BC6,"公")</f>
        <v>0</v>
      </c>
      <c r="CH6" s="22">
        <f t="shared" ref="CH6:CH67" si="26">COUNTIF(Z6:BC6, "")</f>
        <v>13</v>
      </c>
      <c r="CI6" s="34">
        <f t="shared" ref="CI6:CI67" si="27">SUM(BV6:CH6)</f>
        <v>13</v>
      </c>
      <c r="CJ6" s="24">
        <f>COUNTIF(AE6:AF6,"")+COUNTIF(AL6:AM6,"")+COUNTIF(AR6:AT6,"")+ COUNTIF(AZ6:BA6,"")+ COUNTIF(AE6:AF6,"例")+COUNTIF(AL6:AM6,"例")+COUNTIF(AR6:AT6,"例")+COUNTIF(AZ6:BA6,"例")+ COUNTIF(AE6:AF6,"息")+COUNTIF(AL6:AM6,"息")+COUNTIF(AR6:AT6,"息")+ COUNTIF(AZ6:BA6,"息")+COUNTIF(AE6:AF6,"特")+COUNTIF(AL6:AM6,"特")+COUNTIF(AR6:AT6,"特")+COUNTIF(AZ6:BA6,"特")+COUNTIF(AE6:AF6,"補*")+COUNTIF(AL6:AM6,"補*")+COUNTIF(AR6:AT6,"補*")+COUNTIF(AZ6:BA6,"補*")+COUNTIF(AE6:AF6,"喪")+COUNTIF(AL6:AM6,"喪")+COUNTIF(AR6:AT6,"喪")+COUNTIF(AZ6:BA6,"喪")</f>
        <v>4</v>
      </c>
      <c r="CK6" s="93"/>
      <c r="CL6" s="68" t="s">
        <v>213</v>
      </c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</row>
    <row r="7" spans="1:156" s="3" customFormat="1" ht="49.5" customHeight="1">
      <c r="A7" s="38"/>
      <c r="B7" s="22">
        <v>3</v>
      </c>
      <c r="C7" s="34" t="s">
        <v>124</v>
      </c>
      <c r="D7" s="20" t="s">
        <v>46</v>
      </c>
      <c r="E7" s="21" t="s">
        <v>8</v>
      </c>
      <c r="F7" s="21" t="s">
        <v>8</v>
      </c>
      <c r="G7" s="21" t="s">
        <v>8</v>
      </c>
      <c r="H7" s="21" t="s">
        <v>8</v>
      </c>
      <c r="I7" s="21" t="s">
        <v>56</v>
      </c>
      <c r="J7" s="20" t="s">
        <v>47</v>
      </c>
      <c r="K7" s="20" t="s">
        <v>46</v>
      </c>
      <c r="L7" s="21" t="s">
        <v>48</v>
      </c>
      <c r="M7" s="21" t="s">
        <v>48</v>
      </c>
      <c r="N7" s="21" t="s">
        <v>8</v>
      </c>
      <c r="O7" s="20" t="s">
        <v>8</v>
      </c>
      <c r="P7" s="21" t="s">
        <v>8</v>
      </c>
      <c r="Q7" s="21" t="s">
        <v>48</v>
      </c>
      <c r="R7" s="21" t="s">
        <v>46</v>
      </c>
      <c r="S7" s="20" t="s">
        <v>8</v>
      </c>
      <c r="T7" s="20" t="s">
        <v>8</v>
      </c>
      <c r="U7" s="21" t="s">
        <v>8</v>
      </c>
      <c r="V7" s="20" t="s">
        <v>48</v>
      </c>
      <c r="W7" s="21" t="s">
        <v>8</v>
      </c>
      <c r="X7" s="21" t="s">
        <v>8</v>
      </c>
      <c r="Y7" s="21" t="s">
        <v>8</v>
      </c>
      <c r="Z7" s="7" t="s">
        <v>55</v>
      </c>
      <c r="AA7" s="8"/>
      <c r="AB7" s="8" t="s">
        <v>55</v>
      </c>
      <c r="AC7" s="8" t="s">
        <v>55</v>
      </c>
      <c r="AD7" s="8" t="s">
        <v>55</v>
      </c>
      <c r="AE7" s="21" t="s">
        <v>55</v>
      </c>
      <c r="AF7" s="21"/>
      <c r="AG7" s="8" t="s">
        <v>55</v>
      </c>
      <c r="AH7" s="8" t="s">
        <v>55</v>
      </c>
      <c r="AI7" s="8"/>
      <c r="AJ7" s="7" t="s">
        <v>55</v>
      </c>
      <c r="AK7" s="7" t="s">
        <v>55</v>
      </c>
      <c r="AL7" s="20" t="s">
        <v>55</v>
      </c>
      <c r="AM7" s="21"/>
      <c r="AN7" s="8" t="s">
        <v>55</v>
      </c>
      <c r="AO7" s="8" t="s">
        <v>55</v>
      </c>
      <c r="AP7" s="8" t="s">
        <v>55</v>
      </c>
      <c r="AQ7" s="8"/>
      <c r="AR7" s="21"/>
      <c r="AS7" s="21"/>
      <c r="AT7" s="21"/>
      <c r="AU7" s="9"/>
      <c r="AV7" s="8" t="s">
        <v>55</v>
      </c>
      <c r="AW7" s="8" t="s">
        <v>55</v>
      </c>
      <c r="AX7" s="8"/>
      <c r="AY7" s="8"/>
      <c r="AZ7" s="21" t="s">
        <v>55</v>
      </c>
      <c r="BA7" s="21" t="s">
        <v>55</v>
      </c>
      <c r="BB7" s="8" t="s">
        <v>55</v>
      </c>
      <c r="BC7" s="8" t="s">
        <v>55</v>
      </c>
      <c r="BD7" s="34" t="s">
        <v>124</v>
      </c>
      <c r="BE7" s="22">
        <f t="shared" ref="BE7:BE67" si="28">COUNTIF(Z7:BC7,"D*")</f>
        <v>0</v>
      </c>
      <c r="BF7" s="22">
        <f t="shared" si="0"/>
        <v>0</v>
      </c>
      <c r="BG7" s="31">
        <f t="shared" si="1"/>
        <v>19</v>
      </c>
      <c r="BH7" s="22">
        <f t="shared" si="2"/>
        <v>19</v>
      </c>
      <c r="BI7" s="22">
        <f t="shared" si="3"/>
        <v>3</v>
      </c>
      <c r="BJ7" s="22">
        <f t="shared" si="4"/>
        <v>4</v>
      </c>
      <c r="BK7" s="22">
        <f t="shared" si="5"/>
        <v>7</v>
      </c>
      <c r="BL7" s="22">
        <f t="shared" si="6"/>
        <v>0</v>
      </c>
      <c r="BM7" s="22">
        <f t="shared" si="7"/>
        <v>0</v>
      </c>
      <c r="BN7" s="22">
        <f t="shared" si="8"/>
        <v>0</v>
      </c>
      <c r="BO7" s="22">
        <f t="shared" si="9"/>
        <v>3</v>
      </c>
      <c r="BP7" s="22">
        <f t="shared" si="9"/>
        <v>4</v>
      </c>
      <c r="BQ7" s="22">
        <f t="shared" si="9"/>
        <v>7</v>
      </c>
      <c r="BR7" s="22">
        <f t="shared" si="10"/>
        <v>0</v>
      </c>
      <c r="BS7" s="22">
        <f t="shared" si="11"/>
        <v>0</v>
      </c>
      <c r="BT7" s="22">
        <f t="shared" si="12"/>
        <v>0</v>
      </c>
      <c r="BU7" s="22">
        <f t="shared" si="13"/>
        <v>0</v>
      </c>
      <c r="BV7" s="22">
        <f t="shared" si="14"/>
        <v>0</v>
      </c>
      <c r="BW7" s="22">
        <f t="shared" si="15"/>
        <v>0</v>
      </c>
      <c r="BX7" s="22">
        <f t="shared" si="16"/>
        <v>0</v>
      </c>
      <c r="BY7" s="22">
        <f t="shared" si="17"/>
        <v>0</v>
      </c>
      <c r="BZ7" s="22">
        <f t="shared" si="18"/>
        <v>0</v>
      </c>
      <c r="CA7" s="22">
        <f t="shared" si="19"/>
        <v>0</v>
      </c>
      <c r="CB7" s="22">
        <f t="shared" si="20"/>
        <v>0</v>
      </c>
      <c r="CC7" s="22">
        <f t="shared" si="21"/>
        <v>0</v>
      </c>
      <c r="CD7" s="22">
        <f t="shared" si="22"/>
        <v>0</v>
      </c>
      <c r="CE7" s="22">
        <f t="shared" si="23"/>
        <v>0</v>
      </c>
      <c r="CF7" s="22">
        <f t="shared" si="24"/>
        <v>0</v>
      </c>
      <c r="CG7" s="22">
        <f t="shared" si="25"/>
        <v>0</v>
      </c>
      <c r="CH7" s="22">
        <f t="shared" si="26"/>
        <v>11</v>
      </c>
      <c r="CI7" s="34">
        <f t="shared" si="27"/>
        <v>11</v>
      </c>
      <c r="CJ7" s="24">
        <f t="shared" ref="CJ7:CJ68" si="29">COUNTIF(AE7:AF7,"")+COUNTIF(AL7:AM7,"")+COUNTIF(AR7:AT7,"")+ COUNTIF(AZ7:BA7,"")+ COUNTIF(AE7:AF7,"例")+COUNTIF(AL7:AM7,"例")+COUNTIF(AR7:AT7,"例")+COUNTIF(AZ7:BA7,"例")+ COUNTIF(AE7:AF7,"息")+COUNTIF(AL7:AM7,"息")+COUNTIF(AR7:AT7,"息")+ COUNTIF(AZ7:BA7,"息")+COUNTIF(AE7:AF7,"特")+COUNTIF(AL7:AM7,"特")+COUNTIF(AR7:AT7,"特")+COUNTIF(AZ7:BA7,"特")+COUNTIF(AE7:AF7,"補*")+COUNTIF(AL7:AM7,"補*")+COUNTIF(AR7:AT7,"補*")+COUNTIF(AZ7:BA7,"補*")+COUNTIF(AE7:AF7,"喪")+COUNTIF(AL7:AM7,"喪")+COUNTIF(AR7:AT7,"喪")+COUNTIF(AZ7:BA7,"喪")</f>
        <v>5</v>
      </c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</row>
    <row r="8" spans="1:156" s="3" customFormat="1" ht="49" customHeight="1">
      <c r="A8" s="38"/>
      <c r="B8" s="22">
        <v>4</v>
      </c>
      <c r="C8" s="34" t="s">
        <v>125</v>
      </c>
      <c r="D8" s="20" t="s">
        <v>56</v>
      </c>
      <c r="E8" s="20" t="s">
        <v>46</v>
      </c>
      <c r="F8" s="20" t="s">
        <v>49</v>
      </c>
      <c r="G8" s="20" t="s">
        <v>48</v>
      </c>
      <c r="H8" s="20" t="s">
        <v>48</v>
      </c>
      <c r="I8" s="20" t="s">
        <v>46</v>
      </c>
      <c r="J8" s="20" t="s">
        <v>48</v>
      </c>
      <c r="K8" s="20" t="s">
        <v>8</v>
      </c>
      <c r="L8" s="20" t="s">
        <v>8</v>
      </c>
      <c r="M8" s="20" t="s">
        <v>8</v>
      </c>
      <c r="N8" s="20" t="s">
        <v>48</v>
      </c>
      <c r="O8" s="20" t="s">
        <v>58</v>
      </c>
      <c r="P8" s="20" t="s">
        <v>58</v>
      </c>
      <c r="Q8" s="20" t="s">
        <v>47</v>
      </c>
      <c r="R8" s="20" t="s">
        <v>58</v>
      </c>
      <c r="S8" s="20" t="s">
        <v>58</v>
      </c>
      <c r="T8" s="20" t="s">
        <v>8</v>
      </c>
      <c r="U8" s="20" t="s">
        <v>46</v>
      </c>
      <c r="V8" s="20" t="s">
        <v>8</v>
      </c>
      <c r="W8" s="20" t="s">
        <v>8</v>
      </c>
      <c r="X8" s="20" t="s">
        <v>8</v>
      </c>
      <c r="Y8" s="20" t="s">
        <v>8</v>
      </c>
      <c r="Z8" s="7"/>
      <c r="AA8" s="7" t="s">
        <v>55</v>
      </c>
      <c r="AB8" s="7" t="s">
        <v>55</v>
      </c>
      <c r="AC8" s="8" t="s">
        <v>55</v>
      </c>
      <c r="AD8" s="8"/>
      <c r="AE8" s="21"/>
      <c r="AF8" s="21" t="s">
        <v>55</v>
      </c>
      <c r="AG8" s="7" t="s">
        <v>55</v>
      </c>
      <c r="AH8" s="8" t="s">
        <v>55</v>
      </c>
      <c r="AI8" s="8" t="s">
        <v>55</v>
      </c>
      <c r="AJ8" s="8"/>
      <c r="AK8" s="7" t="s">
        <v>55</v>
      </c>
      <c r="AL8" s="21" t="s">
        <v>55</v>
      </c>
      <c r="AM8" s="20" t="s">
        <v>55</v>
      </c>
      <c r="AN8" s="8" t="s">
        <v>55</v>
      </c>
      <c r="AO8" s="8"/>
      <c r="AP8" s="8" t="s">
        <v>55</v>
      </c>
      <c r="AQ8" s="7" t="s">
        <v>55</v>
      </c>
      <c r="AR8" s="20" t="s">
        <v>55</v>
      </c>
      <c r="AS8" s="20" t="s">
        <v>55</v>
      </c>
      <c r="AT8" s="21"/>
      <c r="AU8" s="7" t="s">
        <v>55</v>
      </c>
      <c r="AV8" s="7" t="s">
        <v>55</v>
      </c>
      <c r="AW8" s="8" t="s">
        <v>55</v>
      </c>
      <c r="AX8" s="8"/>
      <c r="AY8" s="9"/>
      <c r="AZ8" s="21"/>
      <c r="BA8" s="21"/>
      <c r="BB8" s="9"/>
      <c r="BC8" s="8" t="s">
        <v>55</v>
      </c>
      <c r="BD8" s="34" t="s">
        <v>130</v>
      </c>
      <c r="BE8" s="22">
        <f>COUNTIF(Z8:BC8,"D*")</f>
        <v>0</v>
      </c>
      <c r="BF8" s="22">
        <f>COUNTIF(Z8:BC8,"E*")</f>
        <v>0</v>
      </c>
      <c r="BG8" s="31">
        <f>COUNTIF(Z8:BC8,"N*")</f>
        <v>19</v>
      </c>
      <c r="BH8" s="22">
        <f>SUM(BE8:BG8)</f>
        <v>19</v>
      </c>
      <c r="BI8" s="22">
        <f>COUNTIF(D8:Y8, "例")</f>
        <v>3</v>
      </c>
      <c r="BJ8" s="22">
        <f>COUNTIF(D8:Y8, "*息*")</f>
        <v>4</v>
      </c>
      <c r="BK8" s="22">
        <f>BI8+BJ8</f>
        <v>7</v>
      </c>
      <c r="BL8" s="22">
        <f>COUNTIF(Z8:AE8, "例")</f>
        <v>0</v>
      </c>
      <c r="BM8" s="22">
        <f>COUNTIF(Z8:AE8,"*息*")</f>
        <v>0</v>
      </c>
      <c r="BN8" s="22">
        <f>BL8+BM8</f>
        <v>0</v>
      </c>
      <c r="BO8" s="22">
        <f t="shared" ref="BO8:BQ9" si="30">BI8+BL8</f>
        <v>3</v>
      </c>
      <c r="BP8" s="22">
        <f t="shared" si="30"/>
        <v>4</v>
      </c>
      <c r="BQ8" s="22">
        <f t="shared" si="30"/>
        <v>7</v>
      </c>
      <c r="BR8" s="22">
        <f>COUNTIF(AF8:BC8,"例")</f>
        <v>0</v>
      </c>
      <c r="BS8" s="22">
        <f>COUNTIF(AF8:BC8,"*息*")</f>
        <v>0</v>
      </c>
      <c r="BT8" s="22">
        <f>SUM(BR8+BS8)</f>
        <v>0</v>
      </c>
      <c r="BU8" s="22">
        <f>COUNTIF(Z8:BC8,"*國*")</f>
        <v>0</v>
      </c>
      <c r="BV8" s="22">
        <f>COUNTIF(Z8:BC8,"例")</f>
        <v>0</v>
      </c>
      <c r="BW8" s="22">
        <f>COUNTIF(Z8:BC8,"息")</f>
        <v>0</v>
      </c>
      <c r="BX8" s="22">
        <f>COUNTIF(Z8:BC8,"國")</f>
        <v>0</v>
      </c>
      <c r="BY8" s="22">
        <f>COUNTIF(Z8:BC8,"補*")</f>
        <v>0</v>
      </c>
      <c r="BZ8" s="22">
        <f>COUNTIF(Z8:BC8,"特*")</f>
        <v>0</v>
      </c>
      <c r="CA8" s="22">
        <f>COUNTIF(Z8:BC8,"喪*")</f>
        <v>0</v>
      </c>
      <c r="CB8" s="22">
        <f>COUNTIF(Z8:BC8,"病")</f>
        <v>0</v>
      </c>
      <c r="CC8" s="22">
        <f>COUNTIF(Z8:BC8,"空")</f>
        <v>0</v>
      </c>
      <c r="CD8" s="22">
        <f>COUNTIF(Z8:BC8,"婚*")</f>
        <v>0</v>
      </c>
      <c r="CE8" s="22">
        <f>COUNTIF(Z8:BC8,"產檢")</f>
        <v>0</v>
      </c>
      <c r="CF8" s="22">
        <f>COUNTIF(Z8:BC8,"產*")</f>
        <v>0</v>
      </c>
      <c r="CG8" s="22">
        <f>COUNTIF(Z8:BC8,"公")</f>
        <v>0</v>
      </c>
      <c r="CH8" s="22">
        <f>COUNTIF(Z8:BC8, "")</f>
        <v>11</v>
      </c>
      <c r="CI8" s="34">
        <f>SUM(BV8:CH8)</f>
        <v>11</v>
      </c>
      <c r="CJ8" s="24">
        <f>COUNTIF(AE8:AF8,"")+COUNTIF(AL8:AM8,"")+COUNTIF(AR8:AT8,"")+ COUNTIF(AZ8:BA8,"")+ COUNTIF(AE8:AF8,"例")+COUNTIF(AL8:AM8,"例")+COUNTIF(AR8:AT8,"例")+COUNTIF(AZ8:BA8,"例")+ COUNTIF(AE8:AF8,"息")+COUNTIF(AL8:AM8,"息")+COUNTIF(AR8:AT8,"息")+ COUNTIF(AZ8:BA8,"息")+COUNTIF(AE8:AF8,"特")+COUNTIF(AL8:AM8,"特")+COUNTIF(AR8:AT8,"特")+COUNTIF(AZ8:BA8,"特")+COUNTIF(AE8:AF8,"補*")+COUNTIF(AL8:AM8,"補*")+COUNTIF(AR8:AT8,"補*")+COUNTIF(AZ8:BA8,"補*")+COUNTIF(AE8:AF8,"喪")+COUNTIF(AL8:AM8,"喪")+COUNTIF(AR8:AT8,"喪")+COUNTIF(AZ8:BA8,"喪")</f>
        <v>4</v>
      </c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</row>
    <row r="9" spans="1:156" s="3" customFormat="1" ht="49.5" customHeight="1">
      <c r="A9" s="38"/>
      <c r="B9" s="22">
        <v>5</v>
      </c>
      <c r="C9" s="34" t="s">
        <v>126</v>
      </c>
      <c r="D9" s="21" t="s">
        <v>8</v>
      </c>
      <c r="E9" s="21" t="s">
        <v>8</v>
      </c>
      <c r="F9" s="21" t="s">
        <v>46</v>
      </c>
      <c r="G9" s="20" t="s">
        <v>8</v>
      </c>
      <c r="H9" s="21" t="s">
        <v>8</v>
      </c>
      <c r="I9" s="21" t="s">
        <v>8</v>
      </c>
      <c r="J9" s="21" t="s">
        <v>48</v>
      </c>
      <c r="K9" s="21" t="s">
        <v>46</v>
      </c>
      <c r="L9" s="21" t="s">
        <v>48</v>
      </c>
      <c r="M9" s="20" t="s">
        <v>8</v>
      </c>
      <c r="N9" s="21" t="s">
        <v>8</v>
      </c>
      <c r="O9" s="21" t="s">
        <v>8</v>
      </c>
      <c r="P9" s="21" t="s">
        <v>8</v>
      </c>
      <c r="Q9" s="21" t="s">
        <v>8</v>
      </c>
      <c r="R9" s="21" t="s">
        <v>46</v>
      </c>
      <c r="S9" s="21" t="s">
        <v>8</v>
      </c>
      <c r="T9" s="21" t="s">
        <v>8</v>
      </c>
      <c r="U9" s="21" t="s">
        <v>56</v>
      </c>
      <c r="V9" s="21" t="s">
        <v>8</v>
      </c>
      <c r="W9" s="21" t="s">
        <v>8</v>
      </c>
      <c r="X9" s="21" t="s">
        <v>48</v>
      </c>
      <c r="Y9" s="21" t="s">
        <v>46</v>
      </c>
      <c r="Z9" s="7" t="s">
        <v>55</v>
      </c>
      <c r="AA9" s="8" t="s">
        <v>55</v>
      </c>
      <c r="AB9" s="7" t="s">
        <v>55</v>
      </c>
      <c r="AC9" s="7"/>
      <c r="AD9" s="7" t="s">
        <v>55</v>
      </c>
      <c r="AE9" s="20" t="s">
        <v>55</v>
      </c>
      <c r="AF9" s="21" t="s">
        <v>55</v>
      </c>
      <c r="AG9" s="8" t="s">
        <v>55</v>
      </c>
      <c r="AH9" s="8"/>
      <c r="AI9" s="8"/>
      <c r="AJ9" s="8" t="s">
        <v>50</v>
      </c>
      <c r="AK9" s="8" t="s">
        <v>50</v>
      </c>
      <c r="AL9" s="21" t="s">
        <v>50</v>
      </c>
      <c r="AM9" s="20" t="s">
        <v>50</v>
      </c>
      <c r="AN9" s="8" t="s">
        <v>50</v>
      </c>
      <c r="AO9" s="9"/>
      <c r="AP9" s="9"/>
      <c r="AQ9" s="9"/>
      <c r="AR9" s="21"/>
      <c r="AS9" s="21"/>
      <c r="AT9" s="21"/>
      <c r="AU9" s="9"/>
      <c r="AV9" s="8"/>
      <c r="AW9" s="7" t="s">
        <v>50</v>
      </c>
      <c r="AX9" s="8" t="s">
        <v>50</v>
      </c>
      <c r="AY9" s="8" t="s">
        <v>50</v>
      </c>
      <c r="AZ9" s="21"/>
      <c r="BA9" s="21" t="s">
        <v>50</v>
      </c>
      <c r="BB9" s="8" t="s">
        <v>50</v>
      </c>
      <c r="BC9" s="8" t="s">
        <v>50</v>
      </c>
      <c r="BD9" s="34" t="s">
        <v>133</v>
      </c>
      <c r="BE9" s="22">
        <f>COUNTIF(Z9:BC9,"D*")</f>
        <v>11</v>
      </c>
      <c r="BF9" s="22">
        <f>COUNTIF(Z9:BC9,"E*")</f>
        <v>0</v>
      </c>
      <c r="BG9" s="22">
        <f>COUNTIF(Z9:BC9,"N*")</f>
        <v>7</v>
      </c>
      <c r="BH9" s="22">
        <f>SUM(BE9:BG9)</f>
        <v>18</v>
      </c>
      <c r="BI9" s="22">
        <f>COUNTIF(D9:Y9, "例")</f>
        <v>4</v>
      </c>
      <c r="BJ9" s="22">
        <f>COUNTIF(D9:Y9, "*息*")</f>
        <v>3</v>
      </c>
      <c r="BK9" s="22">
        <f>BI9+BJ9</f>
        <v>7</v>
      </c>
      <c r="BL9" s="22">
        <f>COUNTIF(Z9:AE9, "例")</f>
        <v>0</v>
      </c>
      <c r="BM9" s="22">
        <f>COUNTIF(Z9:AE9,"*息*")</f>
        <v>0</v>
      </c>
      <c r="BN9" s="22">
        <f>BL9+BM9</f>
        <v>0</v>
      </c>
      <c r="BO9" s="22">
        <f t="shared" si="30"/>
        <v>4</v>
      </c>
      <c r="BP9" s="22">
        <f t="shared" si="30"/>
        <v>3</v>
      </c>
      <c r="BQ9" s="22">
        <f t="shared" si="30"/>
        <v>7</v>
      </c>
      <c r="BR9" s="22">
        <f>COUNTIF(AF9:BC9,"例")</f>
        <v>0</v>
      </c>
      <c r="BS9" s="22">
        <f>COUNTIF(AF9:BC9,"*息*")</f>
        <v>0</v>
      </c>
      <c r="BT9" s="22">
        <f>SUM(BR9+BS9)</f>
        <v>0</v>
      </c>
      <c r="BU9" s="22">
        <f>COUNTIF(Z9:BC9,"*國*")</f>
        <v>0</v>
      </c>
      <c r="BV9" s="22">
        <f>COUNTIF(Z9:BC9,"例")</f>
        <v>0</v>
      </c>
      <c r="BW9" s="22">
        <f>COUNTIF(Z9:BC9,"息")</f>
        <v>0</v>
      </c>
      <c r="BX9" s="22">
        <f>COUNTIF(Z9:BC9,"國")</f>
        <v>0</v>
      </c>
      <c r="BY9" s="22">
        <f>COUNTIF(Z9:BC9,"補*")</f>
        <v>0</v>
      </c>
      <c r="BZ9" s="22">
        <f>COUNTIF(Z9:BC9,"特*")</f>
        <v>0</v>
      </c>
      <c r="CA9" s="22">
        <f>COUNTIF(Z9:BC9,"喪*")</f>
        <v>0</v>
      </c>
      <c r="CB9" s="22">
        <f>COUNTIF(Z9:BC9,"病")</f>
        <v>0</v>
      </c>
      <c r="CC9" s="22">
        <f>COUNTIF(Z9:BC9,"空")</f>
        <v>0</v>
      </c>
      <c r="CD9" s="22">
        <f>COUNTIF(Z9:BC9,"婚*")</f>
        <v>0</v>
      </c>
      <c r="CE9" s="22">
        <f>COUNTIF(Z9:BC9,"產檢")</f>
        <v>0</v>
      </c>
      <c r="CF9" s="22">
        <f>COUNTIF(Z9:BC9,"產*")</f>
        <v>0</v>
      </c>
      <c r="CG9" s="22">
        <f>COUNTIF(Z9:BC9,"公")</f>
        <v>0</v>
      </c>
      <c r="CH9" s="22">
        <f>COUNTIF(Z9:BC9, "")</f>
        <v>12</v>
      </c>
      <c r="CI9" s="34">
        <f>SUM(BV9:CH9)</f>
        <v>12</v>
      </c>
      <c r="CJ9" s="24">
        <f>COUNTIF(AE9:AF9,"")+COUNTIF(AL9:AM9,"")+COUNTIF(AR9:AT9,"")+ COUNTIF(AZ9:BA9,"")+ COUNTIF(AE9:AF9,"例")+COUNTIF(AL9:AM9,"例")+COUNTIF(AR9:AT9,"例")+COUNTIF(AZ9:BA9,"例")+ COUNTIF(AE9:AF9,"息")+COUNTIF(AL9:AM9,"息")+COUNTIF(AR9:AT9,"息")+ COUNTIF(AZ9:BA9,"息")+COUNTIF(AE9:AF9,"特")+COUNTIF(AL9:AM9,"特")+COUNTIF(AR9:AT9,"特")+COUNTIF(AZ9:BA9,"特")+COUNTIF(AE9:AF9,"補*")+COUNTIF(AL9:AM9,"補*")+COUNTIF(AR9:AT9,"補*")+COUNTIF(AZ9:BA9,"補*")+COUNTIF(AE9:AF9,"喪")+COUNTIF(AL9:AM9,"喪")+COUNTIF(AR9:AT9,"喪")+COUNTIF(AZ9:BA9,"喪")</f>
        <v>4</v>
      </c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</row>
    <row r="10" spans="1:156" s="3" customFormat="1" ht="49.5" customHeight="1">
      <c r="A10" s="38"/>
      <c r="B10" s="22">
        <v>6</v>
      </c>
      <c r="C10" s="34" t="s">
        <v>127</v>
      </c>
      <c r="D10" s="21" t="s">
        <v>46</v>
      </c>
      <c r="E10" s="20" t="s">
        <v>51</v>
      </c>
      <c r="F10" s="20" t="s">
        <v>51</v>
      </c>
      <c r="G10" s="20" t="s">
        <v>48</v>
      </c>
      <c r="H10" s="21" t="s">
        <v>51</v>
      </c>
      <c r="I10" s="21" t="s">
        <v>51</v>
      </c>
      <c r="J10" s="20" t="s">
        <v>51</v>
      </c>
      <c r="K10" s="20" t="s">
        <v>51</v>
      </c>
      <c r="L10" s="20" t="s">
        <v>46</v>
      </c>
      <c r="M10" s="21" t="s">
        <v>51</v>
      </c>
      <c r="N10" s="20" t="s">
        <v>51</v>
      </c>
      <c r="O10" s="20" t="s">
        <v>51</v>
      </c>
      <c r="P10" s="21" t="s">
        <v>48</v>
      </c>
      <c r="Q10" s="21" t="s">
        <v>48</v>
      </c>
      <c r="R10" s="21" t="s">
        <v>46</v>
      </c>
      <c r="S10" s="21" t="s">
        <v>48</v>
      </c>
      <c r="T10" s="21" t="s">
        <v>56</v>
      </c>
      <c r="U10" s="20" t="s">
        <v>51</v>
      </c>
      <c r="V10" s="20" t="s">
        <v>51</v>
      </c>
      <c r="W10" s="21" t="s">
        <v>47</v>
      </c>
      <c r="X10" s="21" t="s">
        <v>47</v>
      </c>
      <c r="Y10" s="21" t="s">
        <v>51</v>
      </c>
      <c r="Z10" s="9"/>
      <c r="AA10" s="7" t="s">
        <v>50</v>
      </c>
      <c r="AB10" s="8" t="s">
        <v>50</v>
      </c>
      <c r="AC10" s="7" t="s">
        <v>50</v>
      </c>
      <c r="AD10" s="7" t="s">
        <v>50</v>
      </c>
      <c r="AE10" s="21"/>
      <c r="AF10" s="21"/>
      <c r="AG10" s="7" t="s">
        <v>50</v>
      </c>
      <c r="AH10" s="8" t="s">
        <v>50</v>
      </c>
      <c r="AI10" s="8" t="s">
        <v>50</v>
      </c>
      <c r="AJ10" s="8"/>
      <c r="AK10" s="8"/>
      <c r="AL10" s="21"/>
      <c r="AM10" s="21" t="s">
        <v>50</v>
      </c>
      <c r="AN10" s="8" t="s">
        <v>50</v>
      </c>
      <c r="AO10" s="8"/>
      <c r="AP10" s="7" t="s">
        <v>50</v>
      </c>
      <c r="AQ10" s="7" t="s">
        <v>50</v>
      </c>
      <c r="AR10" s="21" t="s">
        <v>50</v>
      </c>
      <c r="AS10" s="21"/>
      <c r="AT10" s="21" t="s">
        <v>50</v>
      </c>
      <c r="AU10" s="7" t="s">
        <v>50</v>
      </c>
      <c r="AV10" s="8" t="s">
        <v>50</v>
      </c>
      <c r="AW10" s="8" t="s">
        <v>50</v>
      </c>
      <c r="AX10" s="7"/>
      <c r="AY10" s="7" t="s">
        <v>50</v>
      </c>
      <c r="AZ10" s="21" t="s">
        <v>50</v>
      </c>
      <c r="BA10" s="21" t="s">
        <v>51</v>
      </c>
      <c r="BB10" s="9"/>
      <c r="BC10" s="9"/>
      <c r="BD10" s="34" t="s">
        <v>125</v>
      </c>
      <c r="BE10" s="22">
        <f t="shared" si="28"/>
        <v>19</v>
      </c>
      <c r="BF10" s="22">
        <f t="shared" si="0"/>
        <v>0</v>
      </c>
      <c r="BG10" s="22">
        <f t="shared" si="1"/>
        <v>0</v>
      </c>
      <c r="BH10" s="22">
        <f t="shared" si="2"/>
        <v>19</v>
      </c>
      <c r="BI10" s="22">
        <f t="shared" si="3"/>
        <v>3</v>
      </c>
      <c r="BJ10" s="22">
        <f t="shared" si="4"/>
        <v>4</v>
      </c>
      <c r="BK10" s="22">
        <f t="shared" si="5"/>
        <v>7</v>
      </c>
      <c r="BL10" s="22">
        <f t="shared" si="6"/>
        <v>0</v>
      </c>
      <c r="BM10" s="22">
        <f t="shared" si="7"/>
        <v>0</v>
      </c>
      <c r="BN10" s="22">
        <f t="shared" si="8"/>
        <v>0</v>
      </c>
      <c r="BO10" s="22">
        <f t="shared" si="9"/>
        <v>3</v>
      </c>
      <c r="BP10" s="22">
        <f t="shared" si="9"/>
        <v>4</v>
      </c>
      <c r="BQ10" s="22">
        <f t="shared" si="9"/>
        <v>7</v>
      </c>
      <c r="BR10" s="22">
        <f t="shared" si="10"/>
        <v>0</v>
      </c>
      <c r="BS10" s="22">
        <f t="shared" si="11"/>
        <v>0</v>
      </c>
      <c r="BT10" s="22">
        <f t="shared" si="12"/>
        <v>0</v>
      </c>
      <c r="BU10" s="22">
        <f t="shared" si="13"/>
        <v>0</v>
      </c>
      <c r="BV10" s="22">
        <f t="shared" si="14"/>
        <v>0</v>
      </c>
      <c r="BW10" s="22">
        <f t="shared" si="15"/>
        <v>0</v>
      </c>
      <c r="BX10" s="22">
        <f t="shared" si="16"/>
        <v>0</v>
      </c>
      <c r="BY10" s="22">
        <f t="shared" si="17"/>
        <v>0</v>
      </c>
      <c r="BZ10" s="22">
        <f t="shared" si="18"/>
        <v>0</v>
      </c>
      <c r="CA10" s="22">
        <f t="shared" si="19"/>
        <v>0</v>
      </c>
      <c r="CB10" s="22">
        <f t="shared" si="20"/>
        <v>0</v>
      </c>
      <c r="CC10" s="22">
        <f t="shared" si="21"/>
        <v>0</v>
      </c>
      <c r="CD10" s="22">
        <f t="shared" si="22"/>
        <v>0</v>
      </c>
      <c r="CE10" s="22">
        <f t="shared" si="23"/>
        <v>0</v>
      </c>
      <c r="CF10" s="22">
        <f t="shared" si="24"/>
        <v>0</v>
      </c>
      <c r="CG10" s="22">
        <f t="shared" si="25"/>
        <v>0</v>
      </c>
      <c r="CH10" s="22">
        <f t="shared" si="26"/>
        <v>11</v>
      </c>
      <c r="CI10" s="34">
        <f t="shared" si="27"/>
        <v>11</v>
      </c>
      <c r="CJ10" s="24">
        <f t="shared" si="29"/>
        <v>4</v>
      </c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</row>
    <row r="11" spans="1:156" s="3" customFormat="1" ht="49.5" customHeight="1">
      <c r="A11" s="38"/>
      <c r="B11" s="22">
        <v>7</v>
      </c>
      <c r="C11" s="34" t="s">
        <v>128</v>
      </c>
      <c r="D11" s="21" t="s">
        <v>7</v>
      </c>
      <c r="E11" s="20" t="s">
        <v>7</v>
      </c>
      <c r="F11" s="20" t="s">
        <v>48</v>
      </c>
      <c r="G11" s="20" t="s">
        <v>57</v>
      </c>
      <c r="H11" s="20" t="s">
        <v>57</v>
      </c>
      <c r="I11" s="20" t="s">
        <v>46</v>
      </c>
      <c r="J11" s="20" t="s">
        <v>7</v>
      </c>
      <c r="K11" s="20" t="s">
        <v>7</v>
      </c>
      <c r="L11" s="20" t="s">
        <v>7</v>
      </c>
      <c r="M11" s="20" t="s">
        <v>46</v>
      </c>
      <c r="N11" s="20" t="s">
        <v>7</v>
      </c>
      <c r="O11" s="20" t="s">
        <v>7</v>
      </c>
      <c r="P11" s="20" t="s">
        <v>7</v>
      </c>
      <c r="Q11" s="20" t="s">
        <v>48</v>
      </c>
      <c r="R11" s="20" t="s">
        <v>7</v>
      </c>
      <c r="S11" s="20" t="s">
        <v>7</v>
      </c>
      <c r="T11" s="20" t="s">
        <v>46</v>
      </c>
      <c r="U11" s="20" t="s">
        <v>7</v>
      </c>
      <c r="V11" s="20" t="s">
        <v>7</v>
      </c>
      <c r="W11" s="20" t="s">
        <v>48</v>
      </c>
      <c r="X11" s="20" t="s">
        <v>48</v>
      </c>
      <c r="Y11" s="20" t="s">
        <v>7</v>
      </c>
      <c r="Z11" s="8" t="s">
        <v>53</v>
      </c>
      <c r="AA11" s="8" t="s">
        <v>53</v>
      </c>
      <c r="AB11" s="8" t="s">
        <v>53</v>
      </c>
      <c r="AC11" s="8"/>
      <c r="AD11" s="7" t="s">
        <v>53</v>
      </c>
      <c r="AE11" s="21" t="s">
        <v>53</v>
      </c>
      <c r="AF11" s="21" t="s">
        <v>53</v>
      </c>
      <c r="AG11" s="9"/>
      <c r="AH11" s="7" t="s">
        <v>53</v>
      </c>
      <c r="AI11" s="8" t="s">
        <v>53</v>
      </c>
      <c r="AJ11" s="9"/>
      <c r="AK11" s="9"/>
      <c r="AL11" s="21" t="s">
        <v>53</v>
      </c>
      <c r="AM11" s="20" t="s">
        <v>53</v>
      </c>
      <c r="AN11" s="8"/>
      <c r="AO11" s="8" t="s">
        <v>50</v>
      </c>
      <c r="AP11" s="7" t="s">
        <v>50</v>
      </c>
      <c r="AQ11" s="8" t="s">
        <v>50</v>
      </c>
      <c r="AR11" s="21"/>
      <c r="AS11" s="21"/>
      <c r="AT11" s="21" t="s">
        <v>50</v>
      </c>
      <c r="AU11" s="7" t="s">
        <v>50</v>
      </c>
      <c r="AV11" s="10"/>
      <c r="AW11" s="9"/>
      <c r="AX11" s="9"/>
      <c r="AY11" s="8" t="s">
        <v>50</v>
      </c>
      <c r="AZ11" s="20" t="s">
        <v>50</v>
      </c>
      <c r="BA11" s="20" t="s">
        <v>50</v>
      </c>
      <c r="BB11" s="8"/>
      <c r="BC11" s="7" t="s">
        <v>50</v>
      </c>
      <c r="BD11" s="34" t="s">
        <v>127</v>
      </c>
      <c r="BE11" s="22">
        <f t="shared" si="28"/>
        <v>9</v>
      </c>
      <c r="BF11" s="22">
        <f t="shared" si="0"/>
        <v>10</v>
      </c>
      <c r="BG11" s="22">
        <f t="shared" si="1"/>
        <v>0</v>
      </c>
      <c r="BH11" s="22">
        <f t="shared" si="2"/>
        <v>19</v>
      </c>
      <c r="BI11" s="22">
        <f t="shared" si="3"/>
        <v>3</v>
      </c>
      <c r="BJ11" s="22">
        <f t="shared" si="4"/>
        <v>4</v>
      </c>
      <c r="BK11" s="22">
        <f t="shared" si="5"/>
        <v>7</v>
      </c>
      <c r="BL11" s="22">
        <f t="shared" si="6"/>
        <v>0</v>
      </c>
      <c r="BM11" s="22">
        <f t="shared" si="7"/>
        <v>0</v>
      </c>
      <c r="BN11" s="22">
        <f t="shared" si="8"/>
        <v>0</v>
      </c>
      <c r="BO11" s="22">
        <f t="shared" si="9"/>
        <v>3</v>
      </c>
      <c r="BP11" s="22">
        <f t="shared" si="9"/>
        <v>4</v>
      </c>
      <c r="BQ11" s="22">
        <f t="shared" si="9"/>
        <v>7</v>
      </c>
      <c r="BR11" s="22">
        <f t="shared" si="10"/>
        <v>0</v>
      </c>
      <c r="BS11" s="22">
        <f t="shared" si="11"/>
        <v>0</v>
      </c>
      <c r="BT11" s="22">
        <f t="shared" si="12"/>
        <v>0</v>
      </c>
      <c r="BU11" s="22">
        <f t="shared" si="13"/>
        <v>0</v>
      </c>
      <c r="BV11" s="22">
        <f t="shared" si="14"/>
        <v>0</v>
      </c>
      <c r="BW11" s="22">
        <f t="shared" si="15"/>
        <v>0</v>
      </c>
      <c r="BX11" s="22">
        <f t="shared" si="16"/>
        <v>0</v>
      </c>
      <c r="BY11" s="22">
        <f t="shared" si="17"/>
        <v>0</v>
      </c>
      <c r="BZ11" s="22">
        <f t="shared" si="18"/>
        <v>0</v>
      </c>
      <c r="CA11" s="22">
        <f t="shared" si="19"/>
        <v>0</v>
      </c>
      <c r="CB11" s="22">
        <f t="shared" si="20"/>
        <v>0</v>
      </c>
      <c r="CC11" s="22">
        <f t="shared" si="21"/>
        <v>0</v>
      </c>
      <c r="CD11" s="22">
        <f t="shared" si="22"/>
        <v>0</v>
      </c>
      <c r="CE11" s="22">
        <f t="shared" si="23"/>
        <v>0</v>
      </c>
      <c r="CF11" s="22">
        <f t="shared" si="24"/>
        <v>0</v>
      </c>
      <c r="CG11" s="22">
        <f t="shared" si="25"/>
        <v>0</v>
      </c>
      <c r="CH11" s="22">
        <f t="shared" si="26"/>
        <v>11</v>
      </c>
      <c r="CI11" s="34">
        <f t="shared" si="27"/>
        <v>11</v>
      </c>
      <c r="CJ11" s="24">
        <f t="shared" si="29"/>
        <v>2</v>
      </c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</row>
    <row r="12" spans="1:156" s="3" customFormat="1" ht="49.5" customHeight="1">
      <c r="A12" s="38"/>
      <c r="B12" s="22">
        <v>8</v>
      </c>
      <c r="C12" s="34" t="s">
        <v>129</v>
      </c>
      <c r="D12" s="20" t="s">
        <v>8</v>
      </c>
      <c r="E12" s="20" t="s">
        <v>8</v>
      </c>
      <c r="F12" s="20" t="s">
        <v>8</v>
      </c>
      <c r="G12" s="20" t="s">
        <v>8</v>
      </c>
      <c r="H12" s="20" t="s">
        <v>46</v>
      </c>
      <c r="I12" s="20" t="s">
        <v>8</v>
      </c>
      <c r="J12" s="21" t="s">
        <v>8</v>
      </c>
      <c r="K12" s="20" t="s">
        <v>46</v>
      </c>
      <c r="L12" s="20" t="s">
        <v>8</v>
      </c>
      <c r="M12" s="20" t="s">
        <v>8</v>
      </c>
      <c r="N12" s="20" t="s">
        <v>48</v>
      </c>
      <c r="O12" s="20" t="s">
        <v>62</v>
      </c>
      <c r="P12" s="21" t="s">
        <v>8</v>
      </c>
      <c r="Q12" s="21" t="s">
        <v>48</v>
      </c>
      <c r="R12" s="21" t="s">
        <v>8</v>
      </c>
      <c r="S12" s="20" t="s">
        <v>8</v>
      </c>
      <c r="T12" s="20" t="s">
        <v>8</v>
      </c>
      <c r="U12" s="20" t="s">
        <v>8</v>
      </c>
      <c r="V12" s="20" t="s">
        <v>46</v>
      </c>
      <c r="W12" s="21" t="s">
        <v>48</v>
      </c>
      <c r="X12" s="21" t="s">
        <v>8</v>
      </c>
      <c r="Y12" s="21" t="s">
        <v>8</v>
      </c>
      <c r="Z12" s="8" t="s">
        <v>55</v>
      </c>
      <c r="AA12" s="8" t="s">
        <v>55</v>
      </c>
      <c r="AB12" s="8"/>
      <c r="AC12" s="7" t="s">
        <v>55</v>
      </c>
      <c r="AD12" s="8" t="s">
        <v>55</v>
      </c>
      <c r="AE12" s="21"/>
      <c r="AF12" s="20" t="s">
        <v>55</v>
      </c>
      <c r="AG12" s="7" t="s">
        <v>55</v>
      </c>
      <c r="AH12" s="7" t="s">
        <v>55</v>
      </c>
      <c r="AI12" s="9"/>
      <c r="AJ12" s="8" t="s">
        <v>55</v>
      </c>
      <c r="AK12" s="7" t="s">
        <v>55</v>
      </c>
      <c r="AL12" s="21"/>
      <c r="AM12" s="21"/>
      <c r="AN12" s="9"/>
      <c r="AO12" s="8" t="s">
        <v>55</v>
      </c>
      <c r="AP12" s="7" t="s">
        <v>55</v>
      </c>
      <c r="AQ12" s="7"/>
      <c r="AR12" s="21"/>
      <c r="AS12" s="21" t="s">
        <v>8</v>
      </c>
      <c r="AT12" s="21" t="s">
        <v>55</v>
      </c>
      <c r="AU12" s="7" t="s">
        <v>55</v>
      </c>
      <c r="AV12" s="7" t="s">
        <v>55</v>
      </c>
      <c r="AW12" s="8"/>
      <c r="AX12" s="8" t="s">
        <v>55</v>
      </c>
      <c r="AY12" s="7" t="s">
        <v>55</v>
      </c>
      <c r="AZ12" s="21" t="s">
        <v>55</v>
      </c>
      <c r="BA12" s="21" t="s">
        <v>55</v>
      </c>
      <c r="BB12" s="8"/>
      <c r="BC12" s="8"/>
      <c r="BD12" s="35" t="s">
        <v>137</v>
      </c>
      <c r="BE12" s="22">
        <f>COUNTIF(Z12:BC12,"D*")</f>
        <v>0</v>
      </c>
      <c r="BF12" s="22">
        <f>COUNTIF(Z12:BC12,"E*")</f>
        <v>0</v>
      </c>
      <c r="BG12" s="31">
        <f>COUNTIF(Z12:BC12,"N*")</f>
        <v>19</v>
      </c>
      <c r="BH12" s="22">
        <f>SUM(BE12:BG12)</f>
        <v>19</v>
      </c>
      <c r="BI12" s="22">
        <f>COUNTIF(D12:Y12, "例")</f>
        <v>3</v>
      </c>
      <c r="BJ12" s="22">
        <f>COUNTIF(D12:Y12, "*息*")</f>
        <v>4</v>
      </c>
      <c r="BK12" s="22">
        <f>BI12+BJ12</f>
        <v>7</v>
      </c>
      <c r="BL12" s="22">
        <f>COUNTIF(Z12:AE12, "例")</f>
        <v>0</v>
      </c>
      <c r="BM12" s="22">
        <f>COUNTIF(Z12:AE12,"*息*")</f>
        <v>0</v>
      </c>
      <c r="BN12" s="22">
        <f>BL12+BM12</f>
        <v>0</v>
      </c>
      <c r="BO12" s="22">
        <f t="shared" ref="BO12:BQ14" si="31">BI12+BL12</f>
        <v>3</v>
      </c>
      <c r="BP12" s="22">
        <f t="shared" si="31"/>
        <v>4</v>
      </c>
      <c r="BQ12" s="22">
        <f t="shared" si="31"/>
        <v>7</v>
      </c>
      <c r="BR12" s="22">
        <f>COUNTIF(AF12:BC12,"例")</f>
        <v>0</v>
      </c>
      <c r="BS12" s="22">
        <f>COUNTIF(AF12:BC12,"*息*")</f>
        <v>0</v>
      </c>
      <c r="BT12" s="22">
        <f>SUM(BR12+BS12)</f>
        <v>0</v>
      </c>
      <c r="BU12" s="22">
        <f>COUNTIF(Z12:BC12,"*國*")</f>
        <v>0</v>
      </c>
      <c r="BV12" s="22">
        <f>COUNTIF(Z12:BC12,"例")</f>
        <v>0</v>
      </c>
      <c r="BW12" s="22">
        <f>COUNTIF(Z12:BC12,"息")</f>
        <v>0</v>
      </c>
      <c r="BX12" s="22">
        <f>COUNTIF(Z12:BC12,"國")</f>
        <v>0</v>
      </c>
      <c r="BY12" s="22">
        <f>COUNTIF(Z12:BC12,"補*")</f>
        <v>0</v>
      </c>
      <c r="BZ12" s="22">
        <f>COUNTIF(Z12:BC12,"特*")</f>
        <v>0</v>
      </c>
      <c r="CA12" s="22">
        <f>COUNTIF(Z12:BC12,"喪*")</f>
        <v>0</v>
      </c>
      <c r="CB12" s="22">
        <f>COUNTIF(Z12:BC12,"病")</f>
        <v>0</v>
      </c>
      <c r="CC12" s="22">
        <f>COUNTIF(Z12:BC12,"空")</f>
        <v>0</v>
      </c>
      <c r="CD12" s="22">
        <f>COUNTIF(Z12:BC12,"婚*")</f>
        <v>0</v>
      </c>
      <c r="CE12" s="22">
        <f>COUNTIF(Z12:BC12,"產檢")</f>
        <v>0</v>
      </c>
      <c r="CF12" s="22">
        <f>COUNTIF(Z12:BC12,"產*")</f>
        <v>0</v>
      </c>
      <c r="CG12" s="22">
        <f>COUNTIF(Z12:BC12,"公")</f>
        <v>0</v>
      </c>
      <c r="CH12" s="22">
        <f>COUNTIF(Z12:BC12, "")</f>
        <v>11</v>
      </c>
      <c r="CI12" s="34">
        <f>SUM(BV12:CH12)</f>
        <v>11</v>
      </c>
      <c r="CJ12" s="24">
        <f>COUNTIF(AE12:AF12,"")+COUNTIF(AL12:AM12,"")+COUNTIF(AR12:AT12,"")+ COUNTIF(AZ12:BA12,"")+ COUNTIF(AE12:AF12,"例")+COUNTIF(AL12:AM12,"例")+COUNTIF(AR12:AT12,"例")+COUNTIF(AZ12:BA12,"例")+ COUNTIF(AE12:AF12,"息")+COUNTIF(AL12:AM12,"息")+COUNTIF(AR12:AT12,"息")+ COUNTIF(AZ12:BA12,"息")+COUNTIF(AE12:AF12,"特")+COUNTIF(AL12:AM12,"特")+COUNTIF(AR12:AT12,"特")+COUNTIF(AZ12:BA12,"特")+COUNTIF(AE12:AF12,"補*")+COUNTIF(AL12:AM12,"補*")+COUNTIF(AR12:AT12,"補*")+COUNTIF(AZ12:BA12,"補*")+COUNTIF(AE12:AF12,"喪")+COUNTIF(AL12:AM12,"喪")+COUNTIF(AR12:AT12,"喪")+COUNTIF(AZ12:BA12,"喪")</f>
        <v>4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</row>
    <row r="13" spans="1:156" s="3" customFormat="1" ht="49.5" customHeight="1">
      <c r="A13" s="38"/>
      <c r="B13" s="22">
        <v>9</v>
      </c>
      <c r="C13" s="34" t="s">
        <v>130</v>
      </c>
      <c r="D13" s="21" t="s">
        <v>46</v>
      </c>
      <c r="E13" s="20" t="s">
        <v>7</v>
      </c>
      <c r="F13" s="21" t="s">
        <v>7</v>
      </c>
      <c r="G13" s="20" t="s">
        <v>7</v>
      </c>
      <c r="H13" s="20" t="s">
        <v>48</v>
      </c>
      <c r="I13" s="20" t="s">
        <v>7</v>
      </c>
      <c r="J13" s="20" t="s">
        <v>7</v>
      </c>
      <c r="K13" s="20" t="s">
        <v>46</v>
      </c>
      <c r="L13" s="20" t="s">
        <v>7</v>
      </c>
      <c r="M13" s="20" t="s">
        <v>7</v>
      </c>
      <c r="N13" s="20" t="s">
        <v>7</v>
      </c>
      <c r="O13" s="20" t="s">
        <v>7</v>
      </c>
      <c r="P13" s="20" t="s">
        <v>48</v>
      </c>
      <c r="Q13" s="20" t="s">
        <v>7</v>
      </c>
      <c r="R13" s="20" t="s">
        <v>7</v>
      </c>
      <c r="S13" s="20" t="s">
        <v>7</v>
      </c>
      <c r="T13" s="20" t="s">
        <v>54</v>
      </c>
      <c r="U13" s="20" t="s">
        <v>54</v>
      </c>
      <c r="V13" s="20" t="s">
        <v>46</v>
      </c>
      <c r="W13" s="20" t="s">
        <v>7</v>
      </c>
      <c r="X13" s="20" t="s">
        <v>7</v>
      </c>
      <c r="Y13" s="20" t="s">
        <v>7</v>
      </c>
      <c r="Z13" s="8"/>
      <c r="AA13" s="7" t="s">
        <v>53</v>
      </c>
      <c r="AB13" s="8" t="s">
        <v>53</v>
      </c>
      <c r="AC13" s="8" t="s">
        <v>53</v>
      </c>
      <c r="AD13" s="7" t="s">
        <v>53</v>
      </c>
      <c r="AE13" s="21"/>
      <c r="AF13" s="20" t="s">
        <v>53</v>
      </c>
      <c r="AG13" s="8" t="s">
        <v>53</v>
      </c>
      <c r="AH13" s="8" t="s">
        <v>53</v>
      </c>
      <c r="AI13" s="8"/>
      <c r="AJ13" s="7" t="s">
        <v>53</v>
      </c>
      <c r="AK13" s="7" t="s">
        <v>53</v>
      </c>
      <c r="AL13" s="21"/>
      <c r="AM13" s="21"/>
      <c r="AN13" s="9"/>
      <c r="AO13" s="7" t="s">
        <v>53</v>
      </c>
      <c r="AP13" s="8" t="s">
        <v>53</v>
      </c>
      <c r="AQ13" s="7" t="s">
        <v>53</v>
      </c>
      <c r="AR13" s="21"/>
      <c r="AS13" s="21" t="s">
        <v>53</v>
      </c>
      <c r="AT13" s="20" t="s">
        <v>53</v>
      </c>
      <c r="AU13" s="8" t="s">
        <v>53</v>
      </c>
      <c r="AV13" s="7" t="s">
        <v>53</v>
      </c>
      <c r="AW13" s="7"/>
      <c r="AX13" s="8"/>
      <c r="AY13" s="7" t="s">
        <v>53</v>
      </c>
      <c r="AZ13" s="20" t="s">
        <v>53</v>
      </c>
      <c r="BA13" s="20" t="s">
        <v>53</v>
      </c>
      <c r="BB13" s="8" t="s">
        <v>53</v>
      </c>
      <c r="BC13" s="8"/>
      <c r="BD13" s="35" t="s">
        <v>123</v>
      </c>
      <c r="BE13" s="22">
        <f>COUNTIF(Z13:BC13,"D*")</f>
        <v>0</v>
      </c>
      <c r="BF13" s="30">
        <f>COUNTIF(Z13:BC13,"E*")</f>
        <v>20</v>
      </c>
      <c r="BG13" s="22">
        <f>COUNTIF(Z13:BC13,"N*")</f>
        <v>0</v>
      </c>
      <c r="BH13" s="22">
        <f>SUM(BE13:BG13)</f>
        <v>20</v>
      </c>
      <c r="BI13" s="22">
        <f>COUNTIF(D13:Y13, "例")</f>
        <v>3</v>
      </c>
      <c r="BJ13" s="22">
        <f>COUNTIF(D13:Y13, "*息*")</f>
        <v>4</v>
      </c>
      <c r="BK13" s="22">
        <f>BI13+BJ13</f>
        <v>7</v>
      </c>
      <c r="BL13" s="22">
        <f>COUNTIF(Z13:AE13, "例")</f>
        <v>0</v>
      </c>
      <c r="BM13" s="22">
        <f>COUNTIF(Z13:AE13,"*息*")</f>
        <v>0</v>
      </c>
      <c r="BN13" s="22">
        <f>BL13+BM13</f>
        <v>0</v>
      </c>
      <c r="BO13" s="22">
        <f t="shared" si="31"/>
        <v>3</v>
      </c>
      <c r="BP13" s="22">
        <f t="shared" si="31"/>
        <v>4</v>
      </c>
      <c r="BQ13" s="22">
        <f t="shared" si="31"/>
        <v>7</v>
      </c>
      <c r="BR13" s="22">
        <f>COUNTIF(AF13:BC13,"例")</f>
        <v>0</v>
      </c>
      <c r="BS13" s="22">
        <f>COUNTIF(AF13:BC13,"*息*")</f>
        <v>0</v>
      </c>
      <c r="BT13" s="22">
        <f>SUM(BR13+BS13)</f>
        <v>0</v>
      </c>
      <c r="BU13" s="22">
        <f>COUNTIF(Z13:BC13,"*國*")</f>
        <v>0</v>
      </c>
      <c r="BV13" s="22">
        <f>COUNTIF(Z13:BC13,"例")</f>
        <v>0</v>
      </c>
      <c r="BW13" s="22">
        <f>COUNTIF(Z13:BC13,"息")</f>
        <v>0</v>
      </c>
      <c r="BX13" s="22">
        <f>COUNTIF(Z13:BC13,"國")</f>
        <v>0</v>
      </c>
      <c r="BY13" s="22">
        <f>COUNTIF(Z13:BC13,"補*")</f>
        <v>0</v>
      </c>
      <c r="BZ13" s="22">
        <f>COUNTIF(Z13:BC13,"特*")</f>
        <v>0</v>
      </c>
      <c r="CA13" s="22">
        <f>COUNTIF(Z13:BC13,"喪*")</f>
        <v>0</v>
      </c>
      <c r="CB13" s="22">
        <f>COUNTIF(Z13:BC13,"病")</f>
        <v>0</v>
      </c>
      <c r="CC13" s="22">
        <f>COUNTIF(Z13:BC13,"空")</f>
        <v>0</v>
      </c>
      <c r="CD13" s="22">
        <f>COUNTIF(Z13:BC13,"婚*")</f>
        <v>0</v>
      </c>
      <c r="CE13" s="22">
        <f>COUNTIF(Z13:BC13,"產檢")</f>
        <v>0</v>
      </c>
      <c r="CF13" s="22">
        <f>COUNTIF(Z13:BC13,"產*")</f>
        <v>0</v>
      </c>
      <c r="CG13" s="22">
        <f>COUNTIF(Z13:BC13,"公")</f>
        <v>0</v>
      </c>
      <c r="CH13" s="22">
        <f>COUNTIF(Z13:BC13, "")</f>
        <v>10</v>
      </c>
      <c r="CI13" s="34">
        <f>SUM(BV13:CH13)</f>
        <v>10</v>
      </c>
      <c r="CJ13" s="24">
        <f>COUNTIF(AE13:AF13,"")+COUNTIF(AL13:AM13,"")+COUNTIF(AR13:AT13,"")+ COUNTIF(AZ13:BA13,"")+ COUNTIF(AE13:AF13,"例")+COUNTIF(AL13:AM13,"例")+COUNTIF(AR13:AT13,"例")+COUNTIF(AZ13:BA13,"例")+ COUNTIF(AE13:AF13,"息")+COUNTIF(AL13:AM13,"息")+COUNTIF(AR13:AT13,"息")+ COUNTIF(AZ13:BA13,"息")+COUNTIF(AE13:AF13,"特")+COUNTIF(AL13:AM13,"特")+COUNTIF(AR13:AT13,"特")+COUNTIF(AZ13:BA13,"特")+COUNTIF(AE13:AF13,"補*")+COUNTIF(AL13:AM13,"補*")+COUNTIF(AR13:AT13,"補*")+COUNTIF(AZ13:BA13,"補*")+COUNTIF(AE13:AF13,"喪")+COUNTIF(AL13:AM13,"喪")+COUNTIF(AR13:AT13,"喪")+COUNTIF(AZ13:BA13,"喪")</f>
        <v>4</v>
      </c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</row>
    <row r="14" spans="1:156" s="3" customFormat="1" ht="47.25" customHeight="1">
      <c r="A14" s="38"/>
      <c r="B14" s="22">
        <v>10</v>
      </c>
      <c r="C14" s="34" t="s">
        <v>131</v>
      </c>
      <c r="D14" s="20" t="s">
        <v>51</v>
      </c>
      <c r="E14" s="20" t="s">
        <v>46</v>
      </c>
      <c r="F14" s="20" t="s">
        <v>51</v>
      </c>
      <c r="G14" s="20" t="s">
        <v>47</v>
      </c>
      <c r="H14" s="20" t="s">
        <v>51</v>
      </c>
      <c r="I14" s="20" t="s">
        <v>48</v>
      </c>
      <c r="J14" s="20" t="s">
        <v>48</v>
      </c>
      <c r="K14" s="20" t="s">
        <v>46</v>
      </c>
      <c r="L14" s="20" t="s">
        <v>51</v>
      </c>
      <c r="M14" s="21" t="s">
        <v>51</v>
      </c>
      <c r="N14" s="20" t="s">
        <v>51</v>
      </c>
      <c r="O14" s="20" t="s">
        <v>51</v>
      </c>
      <c r="P14" s="20" t="s">
        <v>56</v>
      </c>
      <c r="Q14" s="20" t="s">
        <v>48</v>
      </c>
      <c r="R14" s="20" t="s">
        <v>51</v>
      </c>
      <c r="S14" s="20" t="s">
        <v>51</v>
      </c>
      <c r="T14" s="20" t="s">
        <v>51</v>
      </c>
      <c r="U14" s="20" t="s">
        <v>46</v>
      </c>
      <c r="V14" s="20" t="s">
        <v>48</v>
      </c>
      <c r="W14" s="20" t="s">
        <v>47</v>
      </c>
      <c r="X14" s="20" t="s">
        <v>51</v>
      </c>
      <c r="Y14" s="20" t="s">
        <v>51</v>
      </c>
      <c r="Z14" s="8" t="s">
        <v>50</v>
      </c>
      <c r="AA14" s="9"/>
      <c r="AB14" s="7" t="s">
        <v>50</v>
      </c>
      <c r="AC14" s="8" t="s">
        <v>50</v>
      </c>
      <c r="AD14" s="8" t="s">
        <v>50</v>
      </c>
      <c r="AE14" s="21"/>
      <c r="AF14" s="21"/>
      <c r="AG14" s="7" t="s">
        <v>50</v>
      </c>
      <c r="AH14" s="7" t="s">
        <v>50</v>
      </c>
      <c r="AI14" s="8" t="s">
        <v>50</v>
      </c>
      <c r="AJ14" s="8" t="s">
        <v>50</v>
      </c>
      <c r="AK14" s="8"/>
      <c r="AL14" s="20"/>
      <c r="AM14" s="21" t="s">
        <v>50</v>
      </c>
      <c r="AN14" s="8" t="s">
        <v>50</v>
      </c>
      <c r="AO14" s="8"/>
      <c r="AP14" s="9"/>
      <c r="AQ14" s="8"/>
      <c r="AR14" s="21"/>
      <c r="AS14" s="20" t="s">
        <v>50</v>
      </c>
      <c r="AT14" s="21" t="s">
        <v>50</v>
      </c>
      <c r="AU14" s="8"/>
      <c r="AV14" s="7" t="s">
        <v>50</v>
      </c>
      <c r="AW14" s="8" t="s">
        <v>50</v>
      </c>
      <c r="AX14" s="7" t="s">
        <v>50</v>
      </c>
      <c r="AY14" s="8"/>
      <c r="AZ14" s="21" t="s">
        <v>50</v>
      </c>
      <c r="BA14" s="20" t="s">
        <v>50</v>
      </c>
      <c r="BB14" s="7" t="s">
        <v>50</v>
      </c>
      <c r="BC14" s="7" t="s">
        <v>50</v>
      </c>
      <c r="BD14" s="34" t="s">
        <v>126</v>
      </c>
      <c r="BE14" s="22">
        <f>COUNTIF(Z14:BC14,"D*")</f>
        <v>19</v>
      </c>
      <c r="BF14" s="22">
        <f>COUNTIF(Z14:BC14,"E*")</f>
        <v>0</v>
      </c>
      <c r="BG14" s="22">
        <f>COUNTIF(Z14:BC14,"N*")</f>
        <v>0</v>
      </c>
      <c r="BH14" s="22">
        <f>SUM(BE14:BG14)</f>
        <v>19</v>
      </c>
      <c r="BI14" s="22">
        <f>COUNTIF(D14:Y14, "例")</f>
        <v>3</v>
      </c>
      <c r="BJ14" s="22">
        <f>COUNTIF(D14:Y14, "*息*")</f>
        <v>4</v>
      </c>
      <c r="BK14" s="22">
        <f>BI14+BJ14</f>
        <v>7</v>
      </c>
      <c r="BL14" s="22">
        <f>COUNTIF(Z14:AE14, "例")</f>
        <v>0</v>
      </c>
      <c r="BM14" s="22">
        <f>COUNTIF(Z14:AE14,"*息*")</f>
        <v>0</v>
      </c>
      <c r="BN14" s="22">
        <f>BL14+BM14</f>
        <v>0</v>
      </c>
      <c r="BO14" s="22">
        <f t="shared" si="31"/>
        <v>3</v>
      </c>
      <c r="BP14" s="22">
        <f t="shared" si="31"/>
        <v>4</v>
      </c>
      <c r="BQ14" s="22">
        <f t="shared" si="31"/>
        <v>7</v>
      </c>
      <c r="BR14" s="22">
        <f>COUNTIF(AF14:BC14,"例")</f>
        <v>0</v>
      </c>
      <c r="BS14" s="22">
        <f>COUNTIF(AF14:BC14,"*息*")</f>
        <v>0</v>
      </c>
      <c r="BT14" s="22">
        <f>SUM(BR14+BS14)</f>
        <v>0</v>
      </c>
      <c r="BU14" s="22">
        <f>COUNTIF(Z14:BC14,"*國*")</f>
        <v>0</v>
      </c>
      <c r="BV14" s="22">
        <f>COUNTIF(Z14:BC14,"例")</f>
        <v>0</v>
      </c>
      <c r="BW14" s="22">
        <f>COUNTIF(Z14:BC14,"息")</f>
        <v>0</v>
      </c>
      <c r="BX14" s="22">
        <f>COUNTIF(Z14:BC14,"國")</f>
        <v>0</v>
      </c>
      <c r="BY14" s="22">
        <f>COUNTIF(Z14:BC14,"補*")</f>
        <v>0</v>
      </c>
      <c r="BZ14" s="22">
        <f>COUNTIF(Z14:BC14,"特*")</f>
        <v>0</v>
      </c>
      <c r="CA14" s="22">
        <f>COUNTIF(Z14:BC14,"喪*")</f>
        <v>0</v>
      </c>
      <c r="CB14" s="22">
        <f>COUNTIF(Z14:BC14,"病")</f>
        <v>0</v>
      </c>
      <c r="CC14" s="22">
        <f>COUNTIF(Z14:BC14,"空")</f>
        <v>0</v>
      </c>
      <c r="CD14" s="22">
        <f>COUNTIF(Z14:BC14,"婚*")</f>
        <v>0</v>
      </c>
      <c r="CE14" s="22">
        <f>COUNTIF(Z14:BC14,"產檢")</f>
        <v>0</v>
      </c>
      <c r="CF14" s="22">
        <f>COUNTIF(Z14:BC14,"產*")</f>
        <v>0</v>
      </c>
      <c r="CG14" s="22">
        <f>COUNTIF(Z14:BC14,"公")</f>
        <v>0</v>
      </c>
      <c r="CH14" s="22">
        <f>COUNTIF(Z14:BC14, "")</f>
        <v>11</v>
      </c>
      <c r="CI14" s="34">
        <f>SUM(BV14:CH14)</f>
        <v>11</v>
      </c>
      <c r="CJ14" s="24">
        <f>COUNTIF(AE14:AF14,"")+COUNTIF(AL14:AM14,"")+COUNTIF(AR14:AT14,"")+ COUNTIF(AZ14:BA14,"")+ COUNTIF(AE14:AF14,"例")+COUNTIF(AL14:AM14,"例")+COUNTIF(AR14:AT14,"例")+COUNTIF(AZ14:BA14,"例")+ COUNTIF(AE14:AF14,"息")+COUNTIF(AL14:AM14,"息")+COUNTIF(AR14:AT14,"息")+ COUNTIF(AZ14:BA14,"息")+COUNTIF(AE14:AF14,"特")+COUNTIF(AL14:AM14,"特")+COUNTIF(AR14:AT14,"特")+COUNTIF(AZ14:BA14,"特")+COUNTIF(AE14:AF14,"補*")+COUNTIF(AL14:AM14,"補*")+COUNTIF(AR14:AT14,"補*")+COUNTIF(AZ14:BA14,"補*")+COUNTIF(AE14:AF14,"喪")+COUNTIF(AL14:AM14,"喪")+COUNTIF(AR14:AT14,"喪")+COUNTIF(AZ14:BA14,"喪")</f>
        <v>4</v>
      </c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</row>
    <row r="15" spans="1:156" s="3" customFormat="1" ht="49.5" customHeight="1">
      <c r="A15" s="38"/>
      <c r="B15" s="22">
        <v>11</v>
      </c>
      <c r="C15" s="34" t="s">
        <v>132</v>
      </c>
      <c r="D15" s="21" t="s">
        <v>51</v>
      </c>
      <c r="E15" s="21" t="s">
        <v>51</v>
      </c>
      <c r="F15" s="21" t="s">
        <v>46</v>
      </c>
      <c r="G15" s="21" t="s">
        <v>51</v>
      </c>
      <c r="H15" s="21" t="s">
        <v>51</v>
      </c>
      <c r="I15" s="21" t="s">
        <v>48</v>
      </c>
      <c r="J15" s="20" t="s">
        <v>51</v>
      </c>
      <c r="K15" s="21" t="s">
        <v>51</v>
      </c>
      <c r="L15" s="21" t="s">
        <v>46</v>
      </c>
      <c r="M15" s="20" t="s">
        <v>51</v>
      </c>
      <c r="N15" s="20" t="s">
        <v>48</v>
      </c>
      <c r="O15" s="21" t="s">
        <v>51</v>
      </c>
      <c r="P15" s="21" t="s">
        <v>51</v>
      </c>
      <c r="Q15" s="21" t="s">
        <v>51</v>
      </c>
      <c r="R15" s="21" t="s">
        <v>51</v>
      </c>
      <c r="S15" s="21" t="s">
        <v>46</v>
      </c>
      <c r="T15" s="21" t="s">
        <v>51</v>
      </c>
      <c r="U15" s="20" t="s">
        <v>51</v>
      </c>
      <c r="V15" s="21" t="s">
        <v>51</v>
      </c>
      <c r="W15" s="21" t="s">
        <v>48</v>
      </c>
      <c r="X15" s="21" t="s">
        <v>48</v>
      </c>
      <c r="Y15" s="21" t="s">
        <v>51</v>
      </c>
      <c r="Z15" s="9"/>
      <c r="AA15" s="9"/>
      <c r="AB15" s="9"/>
      <c r="AC15" s="9"/>
      <c r="AD15" s="8" t="s">
        <v>50</v>
      </c>
      <c r="AE15" s="21" t="s">
        <v>50</v>
      </c>
      <c r="AF15" s="20" t="s">
        <v>50</v>
      </c>
      <c r="AG15" s="8" t="s">
        <v>50</v>
      </c>
      <c r="AH15" s="8" t="s">
        <v>50</v>
      </c>
      <c r="AI15" s="8"/>
      <c r="AJ15" s="8" t="s">
        <v>50</v>
      </c>
      <c r="AK15" s="7" t="s">
        <v>50</v>
      </c>
      <c r="AL15" s="21"/>
      <c r="AM15" s="21"/>
      <c r="AN15" s="8" t="s">
        <v>50</v>
      </c>
      <c r="AO15" s="7" t="s">
        <v>50</v>
      </c>
      <c r="AP15" s="8"/>
      <c r="AQ15" s="8" t="s">
        <v>50</v>
      </c>
      <c r="AR15" s="21" t="s">
        <v>50</v>
      </c>
      <c r="AS15" s="21" t="s">
        <v>50</v>
      </c>
      <c r="AT15" s="21"/>
      <c r="AU15" s="8" t="s">
        <v>50</v>
      </c>
      <c r="AV15" s="8" t="s">
        <v>50</v>
      </c>
      <c r="AW15" s="7"/>
      <c r="AX15" s="7" t="s">
        <v>50</v>
      </c>
      <c r="AY15" s="8" t="s">
        <v>50</v>
      </c>
      <c r="AZ15" s="21" t="s">
        <v>50</v>
      </c>
      <c r="BA15" s="21"/>
      <c r="BB15" s="8" t="s">
        <v>50</v>
      </c>
      <c r="BC15" s="8" t="s">
        <v>50</v>
      </c>
      <c r="BD15" s="34" t="s">
        <v>129</v>
      </c>
      <c r="BE15" s="22">
        <f t="shared" si="28"/>
        <v>19</v>
      </c>
      <c r="BF15" s="22">
        <f t="shared" si="0"/>
        <v>0</v>
      </c>
      <c r="BG15" s="22">
        <f t="shared" si="1"/>
        <v>0</v>
      </c>
      <c r="BH15" s="22">
        <f t="shared" si="2"/>
        <v>19</v>
      </c>
      <c r="BI15" s="22">
        <f t="shared" si="3"/>
        <v>3</v>
      </c>
      <c r="BJ15" s="22">
        <f t="shared" si="4"/>
        <v>4</v>
      </c>
      <c r="BK15" s="22">
        <f t="shared" si="5"/>
        <v>7</v>
      </c>
      <c r="BL15" s="22">
        <f t="shared" si="6"/>
        <v>0</v>
      </c>
      <c r="BM15" s="22">
        <f t="shared" si="7"/>
        <v>0</v>
      </c>
      <c r="BN15" s="22">
        <f t="shared" si="8"/>
        <v>0</v>
      </c>
      <c r="BO15" s="22">
        <f t="shared" si="9"/>
        <v>3</v>
      </c>
      <c r="BP15" s="22">
        <f t="shared" si="9"/>
        <v>4</v>
      </c>
      <c r="BQ15" s="22">
        <f t="shared" si="9"/>
        <v>7</v>
      </c>
      <c r="BR15" s="22">
        <f t="shared" si="10"/>
        <v>0</v>
      </c>
      <c r="BS15" s="22">
        <f t="shared" si="11"/>
        <v>0</v>
      </c>
      <c r="BT15" s="22">
        <f t="shared" si="12"/>
        <v>0</v>
      </c>
      <c r="BU15" s="22">
        <f t="shared" si="13"/>
        <v>0</v>
      </c>
      <c r="BV15" s="22">
        <f t="shared" si="14"/>
        <v>0</v>
      </c>
      <c r="BW15" s="22">
        <f t="shared" si="15"/>
        <v>0</v>
      </c>
      <c r="BX15" s="22">
        <f t="shared" si="16"/>
        <v>0</v>
      </c>
      <c r="BY15" s="22">
        <f t="shared" si="17"/>
        <v>0</v>
      </c>
      <c r="BZ15" s="22">
        <f t="shared" si="18"/>
        <v>0</v>
      </c>
      <c r="CA15" s="22">
        <f t="shared" si="19"/>
        <v>0</v>
      </c>
      <c r="CB15" s="22">
        <f t="shared" si="20"/>
        <v>0</v>
      </c>
      <c r="CC15" s="22">
        <f t="shared" si="21"/>
        <v>0</v>
      </c>
      <c r="CD15" s="22">
        <f t="shared" si="22"/>
        <v>0</v>
      </c>
      <c r="CE15" s="22">
        <f t="shared" si="23"/>
        <v>0</v>
      </c>
      <c r="CF15" s="22">
        <f t="shared" si="24"/>
        <v>0</v>
      </c>
      <c r="CG15" s="22">
        <f t="shared" si="25"/>
        <v>0</v>
      </c>
      <c r="CH15" s="22">
        <f t="shared" si="26"/>
        <v>11</v>
      </c>
      <c r="CI15" s="34">
        <f t="shared" si="27"/>
        <v>11</v>
      </c>
      <c r="CJ15" s="24">
        <f t="shared" si="29"/>
        <v>4</v>
      </c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</row>
    <row r="16" spans="1:156" s="3" customFormat="1" ht="49.5" customHeight="1">
      <c r="A16" s="38"/>
      <c r="B16" s="22">
        <v>12</v>
      </c>
      <c r="C16" s="34" t="s">
        <v>133</v>
      </c>
      <c r="D16" s="21" t="s">
        <v>46</v>
      </c>
      <c r="E16" s="21" t="s">
        <v>56</v>
      </c>
      <c r="F16" s="20" t="s">
        <v>7</v>
      </c>
      <c r="G16" s="20" t="s">
        <v>7</v>
      </c>
      <c r="H16" s="20" t="s">
        <v>7</v>
      </c>
      <c r="I16" s="20" t="s">
        <v>48</v>
      </c>
      <c r="J16" s="21" t="s">
        <v>8</v>
      </c>
      <c r="K16" s="20" t="s">
        <v>8</v>
      </c>
      <c r="L16" s="21" t="s">
        <v>46</v>
      </c>
      <c r="M16" s="21" t="s">
        <v>8</v>
      </c>
      <c r="N16" s="21" t="s">
        <v>8</v>
      </c>
      <c r="O16" s="21" t="s">
        <v>8</v>
      </c>
      <c r="P16" s="21" t="s">
        <v>48</v>
      </c>
      <c r="Q16" s="20" t="s">
        <v>8</v>
      </c>
      <c r="R16" s="20" t="s">
        <v>8</v>
      </c>
      <c r="S16" s="20" t="s">
        <v>46</v>
      </c>
      <c r="T16" s="20" t="s">
        <v>7</v>
      </c>
      <c r="U16" s="21" t="s">
        <v>7</v>
      </c>
      <c r="V16" s="21" t="s">
        <v>7</v>
      </c>
      <c r="W16" s="21" t="s">
        <v>7</v>
      </c>
      <c r="X16" s="20" t="s">
        <v>48</v>
      </c>
      <c r="Y16" s="20" t="s">
        <v>48</v>
      </c>
      <c r="Z16" s="7" t="s">
        <v>55</v>
      </c>
      <c r="AA16" s="7" t="s">
        <v>55</v>
      </c>
      <c r="AB16" s="8" t="s">
        <v>55</v>
      </c>
      <c r="AC16" s="8"/>
      <c r="AD16" s="9"/>
      <c r="AE16" s="21"/>
      <c r="AF16" s="21"/>
      <c r="AG16" s="9"/>
      <c r="AH16" s="7" t="s">
        <v>55</v>
      </c>
      <c r="AI16" s="7" t="s">
        <v>55</v>
      </c>
      <c r="AJ16" s="7"/>
      <c r="AK16" s="8"/>
      <c r="AL16" s="21" t="s">
        <v>55</v>
      </c>
      <c r="AM16" s="20" t="s">
        <v>55</v>
      </c>
      <c r="AN16" s="8" t="s">
        <v>55</v>
      </c>
      <c r="AO16" s="8" t="s">
        <v>55</v>
      </c>
      <c r="AP16" s="8"/>
      <c r="AQ16" s="8" t="s">
        <v>55</v>
      </c>
      <c r="AR16" s="20" t="s">
        <v>55</v>
      </c>
      <c r="AS16" s="21" t="s">
        <v>55</v>
      </c>
      <c r="AT16" s="21" t="s">
        <v>55</v>
      </c>
      <c r="AU16" s="7" t="s">
        <v>55</v>
      </c>
      <c r="AV16" s="7"/>
      <c r="AW16" s="8"/>
      <c r="AX16" s="8" t="s">
        <v>55</v>
      </c>
      <c r="AY16" s="7" t="s">
        <v>55</v>
      </c>
      <c r="AZ16" s="21"/>
      <c r="BA16" s="20" t="s">
        <v>55</v>
      </c>
      <c r="BB16" s="8" t="s">
        <v>55</v>
      </c>
      <c r="BC16" s="8" t="s">
        <v>55</v>
      </c>
      <c r="BD16" s="34" t="s">
        <v>131</v>
      </c>
      <c r="BE16" s="22">
        <f t="shared" si="28"/>
        <v>0</v>
      </c>
      <c r="BF16" s="22">
        <f t="shared" si="0"/>
        <v>0</v>
      </c>
      <c r="BG16" s="31">
        <f t="shared" si="1"/>
        <v>19</v>
      </c>
      <c r="BH16" s="22">
        <f t="shared" si="2"/>
        <v>19</v>
      </c>
      <c r="BI16" s="22">
        <f t="shared" si="3"/>
        <v>3</v>
      </c>
      <c r="BJ16" s="22">
        <f t="shared" si="4"/>
        <v>4</v>
      </c>
      <c r="BK16" s="22">
        <f t="shared" si="5"/>
        <v>7</v>
      </c>
      <c r="BL16" s="22">
        <f t="shared" si="6"/>
        <v>0</v>
      </c>
      <c r="BM16" s="22">
        <f t="shared" si="7"/>
        <v>0</v>
      </c>
      <c r="BN16" s="22">
        <f t="shared" si="8"/>
        <v>0</v>
      </c>
      <c r="BO16" s="22">
        <f t="shared" si="9"/>
        <v>3</v>
      </c>
      <c r="BP16" s="22">
        <f t="shared" si="9"/>
        <v>4</v>
      </c>
      <c r="BQ16" s="22">
        <f t="shared" si="9"/>
        <v>7</v>
      </c>
      <c r="BR16" s="22">
        <f t="shared" si="10"/>
        <v>0</v>
      </c>
      <c r="BS16" s="22">
        <f t="shared" si="11"/>
        <v>0</v>
      </c>
      <c r="BT16" s="22">
        <f t="shared" si="12"/>
        <v>0</v>
      </c>
      <c r="BU16" s="22">
        <f t="shared" si="13"/>
        <v>0</v>
      </c>
      <c r="BV16" s="22">
        <f t="shared" si="14"/>
        <v>0</v>
      </c>
      <c r="BW16" s="22">
        <f t="shared" si="15"/>
        <v>0</v>
      </c>
      <c r="BX16" s="22">
        <f t="shared" si="16"/>
        <v>0</v>
      </c>
      <c r="BY16" s="22">
        <f t="shared" si="17"/>
        <v>0</v>
      </c>
      <c r="BZ16" s="22">
        <f t="shared" si="18"/>
        <v>0</v>
      </c>
      <c r="CA16" s="22">
        <f t="shared" si="19"/>
        <v>0</v>
      </c>
      <c r="CB16" s="22">
        <f t="shared" si="20"/>
        <v>0</v>
      </c>
      <c r="CC16" s="22">
        <f t="shared" si="21"/>
        <v>0</v>
      </c>
      <c r="CD16" s="22">
        <f t="shared" si="22"/>
        <v>0</v>
      </c>
      <c r="CE16" s="22">
        <f t="shared" si="23"/>
        <v>0</v>
      </c>
      <c r="CF16" s="22">
        <f t="shared" si="24"/>
        <v>0</v>
      </c>
      <c r="CG16" s="22">
        <f t="shared" si="25"/>
        <v>0</v>
      </c>
      <c r="CH16" s="22">
        <f t="shared" si="26"/>
        <v>11</v>
      </c>
      <c r="CI16" s="34">
        <f t="shared" si="27"/>
        <v>11</v>
      </c>
      <c r="CJ16" s="24">
        <f t="shared" si="29"/>
        <v>3</v>
      </c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</row>
    <row r="17" spans="1:156" s="3" customFormat="1" ht="51.75" customHeight="1">
      <c r="A17" s="38"/>
      <c r="B17" s="22">
        <v>13</v>
      </c>
      <c r="C17" s="34" t="s">
        <v>134</v>
      </c>
      <c r="D17" s="21" t="s">
        <v>51</v>
      </c>
      <c r="E17" s="21" t="s">
        <v>46</v>
      </c>
      <c r="F17" s="21" t="s">
        <v>51</v>
      </c>
      <c r="G17" s="20" t="s">
        <v>48</v>
      </c>
      <c r="H17" s="20" t="s">
        <v>48</v>
      </c>
      <c r="I17" s="21" t="s">
        <v>51</v>
      </c>
      <c r="J17" s="20" t="s">
        <v>51</v>
      </c>
      <c r="K17" s="21" t="s">
        <v>51</v>
      </c>
      <c r="L17" s="21" t="s">
        <v>51</v>
      </c>
      <c r="M17" s="21" t="s">
        <v>46</v>
      </c>
      <c r="N17" s="21" t="s">
        <v>51</v>
      </c>
      <c r="O17" s="21" t="s">
        <v>51</v>
      </c>
      <c r="P17" s="21" t="s">
        <v>51</v>
      </c>
      <c r="Q17" s="21" t="s">
        <v>48</v>
      </c>
      <c r="R17" s="21" t="s">
        <v>46</v>
      </c>
      <c r="S17" s="21" t="s">
        <v>51</v>
      </c>
      <c r="T17" s="21" t="s">
        <v>51</v>
      </c>
      <c r="U17" s="21" t="s">
        <v>51</v>
      </c>
      <c r="V17" s="21" t="s">
        <v>51</v>
      </c>
      <c r="W17" s="21" t="s">
        <v>48</v>
      </c>
      <c r="X17" s="21" t="s">
        <v>51</v>
      </c>
      <c r="Y17" s="21" t="s">
        <v>51</v>
      </c>
      <c r="Z17" s="8" t="s">
        <v>50</v>
      </c>
      <c r="AA17" s="7" t="s">
        <v>50</v>
      </c>
      <c r="AB17" s="8"/>
      <c r="AC17" s="8" t="s">
        <v>50</v>
      </c>
      <c r="AD17" s="8" t="s">
        <v>50</v>
      </c>
      <c r="AE17" s="20"/>
      <c r="AF17" s="21" t="s">
        <v>50</v>
      </c>
      <c r="AG17" s="7" t="s">
        <v>50</v>
      </c>
      <c r="AH17" s="8" t="s">
        <v>50</v>
      </c>
      <c r="AI17" s="8" t="s">
        <v>50</v>
      </c>
      <c r="AJ17" s="7"/>
      <c r="AK17" s="7" t="s">
        <v>50</v>
      </c>
      <c r="AL17" s="20" t="s">
        <v>50</v>
      </c>
      <c r="AM17" s="20" t="s">
        <v>50</v>
      </c>
      <c r="AN17" s="8" t="s">
        <v>50</v>
      </c>
      <c r="AO17" s="8"/>
      <c r="AP17" s="8"/>
      <c r="AQ17" s="7"/>
      <c r="AR17" s="20" t="s">
        <v>50</v>
      </c>
      <c r="AS17" s="21" t="s">
        <v>50</v>
      </c>
      <c r="AT17" s="21"/>
      <c r="AU17" s="8"/>
      <c r="AV17" s="8" t="s">
        <v>50</v>
      </c>
      <c r="AW17" s="8" t="s">
        <v>50</v>
      </c>
      <c r="AX17" s="8"/>
      <c r="AY17" s="8" t="s">
        <v>50</v>
      </c>
      <c r="AZ17" s="21" t="s">
        <v>50</v>
      </c>
      <c r="BA17" s="21"/>
      <c r="BB17" s="8" t="s">
        <v>50</v>
      </c>
      <c r="BC17" s="9"/>
      <c r="BD17" s="34" t="s">
        <v>132</v>
      </c>
      <c r="BE17" s="22">
        <f t="shared" si="28"/>
        <v>19</v>
      </c>
      <c r="BF17" s="22">
        <f t="shared" si="0"/>
        <v>0</v>
      </c>
      <c r="BG17" s="22">
        <f t="shared" si="1"/>
        <v>0</v>
      </c>
      <c r="BH17" s="22">
        <f t="shared" si="2"/>
        <v>19</v>
      </c>
      <c r="BI17" s="22">
        <f t="shared" si="3"/>
        <v>3</v>
      </c>
      <c r="BJ17" s="22">
        <f t="shared" si="4"/>
        <v>4</v>
      </c>
      <c r="BK17" s="22">
        <f t="shared" si="5"/>
        <v>7</v>
      </c>
      <c r="BL17" s="22">
        <f t="shared" si="6"/>
        <v>0</v>
      </c>
      <c r="BM17" s="22">
        <f t="shared" si="7"/>
        <v>0</v>
      </c>
      <c r="BN17" s="22">
        <f t="shared" si="8"/>
        <v>0</v>
      </c>
      <c r="BO17" s="22">
        <f t="shared" si="9"/>
        <v>3</v>
      </c>
      <c r="BP17" s="22">
        <f t="shared" si="9"/>
        <v>4</v>
      </c>
      <c r="BQ17" s="22">
        <f t="shared" si="9"/>
        <v>7</v>
      </c>
      <c r="BR17" s="22">
        <f t="shared" si="10"/>
        <v>0</v>
      </c>
      <c r="BS17" s="22">
        <f t="shared" si="11"/>
        <v>0</v>
      </c>
      <c r="BT17" s="22">
        <f t="shared" si="12"/>
        <v>0</v>
      </c>
      <c r="BU17" s="22">
        <f t="shared" si="13"/>
        <v>0</v>
      </c>
      <c r="BV17" s="22">
        <f t="shared" si="14"/>
        <v>0</v>
      </c>
      <c r="BW17" s="22">
        <f t="shared" si="15"/>
        <v>0</v>
      </c>
      <c r="BX17" s="22">
        <f t="shared" si="16"/>
        <v>0</v>
      </c>
      <c r="BY17" s="22">
        <f t="shared" si="17"/>
        <v>0</v>
      </c>
      <c r="BZ17" s="22">
        <f t="shared" si="18"/>
        <v>0</v>
      </c>
      <c r="CA17" s="22">
        <f t="shared" si="19"/>
        <v>0</v>
      </c>
      <c r="CB17" s="22">
        <f t="shared" si="20"/>
        <v>0</v>
      </c>
      <c r="CC17" s="22">
        <f t="shared" si="21"/>
        <v>0</v>
      </c>
      <c r="CD17" s="22">
        <f t="shared" si="22"/>
        <v>0</v>
      </c>
      <c r="CE17" s="22">
        <f t="shared" si="23"/>
        <v>0</v>
      </c>
      <c r="CF17" s="22">
        <f t="shared" si="24"/>
        <v>0</v>
      </c>
      <c r="CG17" s="22">
        <f t="shared" si="25"/>
        <v>0</v>
      </c>
      <c r="CH17" s="22">
        <f t="shared" si="26"/>
        <v>11</v>
      </c>
      <c r="CI17" s="34">
        <f t="shared" si="27"/>
        <v>11</v>
      </c>
      <c r="CJ17" s="24">
        <f t="shared" si="29"/>
        <v>3</v>
      </c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</row>
    <row r="18" spans="1:156" s="3" customFormat="1" ht="49.5" customHeight="1">
      <c r="A18" s="38"/>
      <c r="B18" s="22">
        <v>14</v>
      </c>
      <c r="C18" s="34" t="s">
        <v>135</v>
      </c>
      <c r="D18" s="20" t="s">
        <v>46</v>
      </c>
      <c r="E18" s="21" t="s">
        <v>7</v>
      </c>
      <c r="F18" s="21" t="s">
        <v>7</v>
      </c>
      <c r="G18" s="21" t="s">
        <v>48</v>
      </c>
      <c r="H18" s="21" t="s">
        <v>56</v>
      </c>
      <c r="I18" s="21" t="s">
        <v>7</v>
      </c>
      <c r="J18" s="20" t="s">
        <v>7</v>
      </c>
      <c r="K18" s="20" t="s">
        <v>7</v>
      </c>
      <c r="L18" s="20" t="s">
        <v>7</v>
      </c>
      <c r="M18" s="20" t="s">
        <v>46</v>
      </c>
      <c r="N18" s="20" t="s">
        <v>48</v>
      </c>
      <c r="O18" s="20" t="s">
        <v>48</v>
      </c>
      <c r="P18" s="21" t="s">
        <v>7</v>
      </c>
      <c r="Q18" s="20" t="s">
        <v>7</v>
      </c>
      <c r="R18" s="20" t="s">
        <v>7</v>
      </c>
      <c r="S18" s="20" t="s">
        <v>7</v>
      </c>
      <c r="T18" s="20" t="s">
        <v>46</v>
      </c>
      <c r="U18" s="20" t="s">
        <v>7</v>
      </c>
      <c r="V18" s="20" t="s">
        <v>7</v>
      </c>
      <c r="W18" s="21" t="s">
        <v>7</v>
      </c>
      <c r="X18" s="20" t="s">
        <v>7</v>
      </c>
      <c r="Y18" s="20" t="s">
        <v>46</v>
      </c>
      <c r="Z18" s="7" t="s">
        <v>53</v>
      </c>
      <c r="AA18" s="8" t="s">
        <v>53</v>
      </c>
      <c r="AB18" s="7" t="s">
        <v>53</v>
      </c>
      <c r="AC18" s="8" t="s">
        <v>53</v>
      </c>
      <c r="AD18" s="9"/>
      <c r="AE18" s="21"/>
      <c r="AF18" s="21"/>
      <c r="AG18" s="9"/>
      <c r="AH18" s="9"/>
      <c r="AI18" s="9"/>
      <c r="AJ18" s="9"/>
      <c r="AK18" s="9"/>
      <c r="AL18" s="21"/>
      <c r="AM18" s="21"/>
      <c r="AN18" s="7" t="s">
        <v>53</v>
      </c>
      <c r="AO18" s="8" t="s">
        <v>53</v>
      </c>
      <c r="AP18" s="8" t="s">
        <v>53</v>
      </c>
      <c r="AQ18" s="8" t="s">
        <v>53</v>
      </c>
      <c r="AR18" s="21" t="s">
        <v>53</v>
      </c>
      <c r="AS18" s="21"/>
      <c r="AT18" s="20" t="s">
        <v>53</v>
      </c>
      <c r="AU18" s="7" t="s">
        <v>53</v>
      </c>
      <c r="AV18" s="8" t="s">
        <v>53</v>
      </c>
      <c r="AW18" s="7" t="s">
        <v>53</v>
      </c>
      <c r="AX18" s="7"/>
      <c r="AY18" s="8" t="s">
        <v>53</v>
      </c>
      <c r="AZ18" s="21" t="s">
        <v>53</v>
      </c>
      <c r="BA18" s="20" t="s">
        <v>53</v>
      </c>
      <c r="BB18" s="7"/>
      <c r="BC18" s="7" t="s">
        <v>53</v>
      </c>
      <c r="BD18" s="35" t="s">
        <v>128</v>
      </c>
      <c r="BE18" s="22">
        <f>COUNTIF(Z18:BC18,"D*")</f>
        <v>0</v>
      </c>
      <c r="BF18" s="30">
        <f>COUNTIF(Z18:BC18,"E*")</f>
        <v>17</v>
      </c>
      <c r="BG18" s="22">
        <f>COUNTIF(Z18:BC18,"N*")</f>
        <v>0</v>
      </c>
      <c r="BH18" s="22">
        <f>SUM(BE18:BG18)</f>
        <v>17</v>
      </c>
      <c r="BI18" s="22">
        <f>COUNTIF(D18:Y18, "例")</f>
        <v>4</v>
      </c>
      <c r="BJ18" s="22">
        <f>COUNTIF(D18:Y18, "*息*")</f>
        <v>3</v>
      </c>
      <c r="BK18" s="22">
        <f>BI18+BJ18</f>
        <v>7</v>
      </c>
      <c r="BL18" s="22">
        <f>COUNTIF(Z18:AE18, "例")</f>
        <v>0</v>
      </c>
      <c r="BM18" s="22">
        <f>COUNTIF(Z18:AE18,"*息*")</f>
        <v>0</v>
      </c>
      <c r="BN18" s="22">
        <f>BL18+BM18</f>
        <v>0</v>
      </c>
      <c r="BO18" s="22">
        <f>BI18+BL18</f>
        <v>4</v>
      </c>
      <c r="BP18" s="22">
        <f>BJ18+BM18</f>
        <v>3</v>
      </c>
      <c r="BQ18" s="22">
        <f>BK18+BN18</f>
        <v>7</v>
      </c>
      <c r="BR18" s="22">
        <f>COUNTIF(AF18:BC18,"例")</f>
        <v>0</v>
      </c>
      <c r="BS18" s="22">
        <f>COUNTIF(AF18:BC18,"*息*")</f>
        <v>0</v>
      </c>
      <c r="BT18" s="22">
        <f>SUM(BR18+BS18)</f>
        <v>0</v>
      </c>
      <c r="BU18" s="22">
        <f>COUNTIF(Z18:BC18,"*國*")</f>
        <v>0</v>
      </c>
      <c r="BV18" s="22">
        <f>COUNTIF(Z18:BC18,"例")</f>
        <v>0</v>
      </c>
      <c r="BW18" s="22">
        <f>COUNTIF(Z18:BC18,"息")</f>
        <v>0</v>
      </c>
      <c r="BX18" s="22">
        <f>COUNTIF(Z18:BC18,"國")</f>
        <v>0</v>
      </c>
      <c r="BY18" s="22">
        <f>COUNTIF(Z18:BC18,"補*")</f>
        <v>0</v>
      </c>
      <c r="BZ18" s="22">
        <f>COUNTIF(Z18:BC18,"特*")</f>
        <v>0</v>
      </c>
      <c r="CA18" s="22">
        <f>COUNTIF(Z18:BC18,"喪*")</f>
        <v>0</v>
      </c>
      <c r="CB18" s="22">
        <f>COUNTIF(Z18:BC18,"病")</f>
        <v>0</v>
      </c>
      <c r="CC18" s="22">
        <f>COUNTIF(Z18:BC18,"空")</f>
        <v>0</v>
      </c>
      <c r="CD18" s="22">
        <f>COUNTIF(Z18:BC18,"婚*")</f>
        <v>0</v>
      </c>
      <c r="CE18" s="22">
        <f>COUNTIF(Z18:BC18,"產檢")</f>
        <v>0</v>
      </c>
      <c r="CF18" s="22">
        <f>COUNTIF(Z18:BC18,"產*")</f>
        <v>0</v>
      </c>
      <c r="CG18" s="22">
        <f>COUNTIF(Z18:BC18,"公")</f>
        <v>0</v>
      </c>
      <c r="CH18" s="22">
        <f>COUNTIF(Z18:BC18, "")</f>
        <v>13</v>
      </c>
      <c r="CI18" s="34">
        <f>SUM(BV18:CH18)</f>
        <v>13</v>
      </c>
      <c r="CJ18" s="24">
        <f>COUNTIF(AE18:AF18,"")+COUNTIF(AL18:AM18,"")+COUNTIF(AR18:AT18,"")+ COUNTIF(AZ18:BA18,"")+ COUNTIF(AE18:AF18,"例")+COUNTIF(AL18:AM18,"例")+COUNTIF(AR18:AT18,"例")+COUNTIF(AZ18:BA18,"例")+ COUNTIF(AE18:AF18,"息")+COUNTIF(AL18:AM18,"息")+COUNTIF(AR18:AT18,"息")+ COUNTIF(AZ18:BA18,"息")+COUNTIF(AE18:AF18,"特")+COUNTIF(AL18:AM18,"特")+COUNTIF(AR18:AT18,"特")+COUNTIF(AZ18:BA18,"特")+COUNTIF(AE18:AF18,"補*")+COUNTIF(AL18:AM18,"補*")+COUNTIF(AR18:AT18,"補*")+COUNTIF(AZ18:BA18,"補*")+COUNTIF(AE18:AF18,"喪")+COUNTIF(AL18:AM18,"喪")+COUNTIF(AR18:AT18,"喪")+COUNTIF(AZ18:BA18,"喪")</f>
        <v>5</v>
      </c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</row>
    <row r="19" spans="1:156" s="3" customFormat="1" ht="49.5" customHeight="1">
      <c r="A19" s="38"/>
      <c r="B19" s="22">
        <v>15</v>
      </c>
      <c r="C19" s="34" t="s">
        <v>136</v>
      </c>
      <c r="D19" s="21" t="s">
        <v>46</v>
      </c>
      <c r="E19" s="21" t="s">
        <v>48</v>
      </c>
      <c r="F19" s="21" t="s">
        <v>51</v>
      </c>
      <c r="G19" s="21" t="s">
        <v>51</v>
      </c>
      <c r="H19" s="21" t="s">
        <v>48</v>
      </c>
      <c r="I19" s="21" t="s">
        <v>56</v>
      </c>
      <c r="J19" s="21" t="s">
        <v>51</v>
      </c>
      <c r="K19" s="21" t="s">
        <v>51</v>
      </c>
      <c r="L19" s="21" t="s">
        <v>46</v>
      </c>
      <c r="M19" s="20" t="s">
        <v>51</v>
      </c>
      <c r="N19" s="21" t="s">
        <v>51</v>
      </c>
      <c r="O19" s="21" t="s">
        <v>48</v>
      </c>
      <c r="P19" s="21" t="s">
        <v>51</v>
      </c>
      <c r="Q19" s="21" t="s">
        <v>51</v>
      </c>
      <c r="R19" s="21" t="s">
        <v>46</v>
      </c>
      <c r="S19" s="21" t="s">
        <v>51</v>
      </c>
      <c r="T19" s="21" t="s">
        <v>51</v>
      </c>
      <c r="U19" s="21" t="s">
        <v>51</v>
      </c>
      <c r="V19" s="21" t="s">
        <v>49</v>
      </c>
      <c r="W19" s="21" t="s">
        <v>51</v>
      </c>
      <c r="X19" s="21" t="s">
        <v>59</v>
      </c>
      <c r="Y19" s="21" t="s">
        <v>46</v>
      </c>
      <c r="Z19" s="8" t="s">
        <v>50</v>
      </c>
      <c r="AA19" s="8" t="s">
        <v>50</v>
      </c>
      <c r="AB19" s="8" t="s">
        <v>50</v>
      </c>
      <c r="AC19" s="9"/>
      <c r="AD19" s="8" t="s">
        <v>50</v>
      </c>
      <c r="AE19" s="21" t="s">
        <v>50</v>
      </c>
      <c r="AF19" s="21" t="s">
        <v>50</v>
      </c>
      <c r="AG19" s="8"/>
      <c r="AH19" s="8" t="s">
        <v>50</v>
      </c>
      <c r="AI19" s="8" t="s">
        <v>50</v>
      </c>
      <c r="AJ19" s="8" t="s">
        <v>50</v>
      </c>
      <c r="AK19" s="8"/>
      <c r="AL19" s="21"/>
      <c r="AM19" s="21" t="s">
        <v>50</v>
      </c>
      <c r="AN19" s="8" t="s">
        <v>50</v>
      </c>
      <c r="AO19" s="8" t="s">
        <v>50</v>
      </c>
      <c r="AP19" s="8"/>
      <c r="AQ19" s="9"/>
      <c r="AR19" s="21"/>
      <c r="AS19" s="21"/>
      <c r="AT19" s="21" t="s">
        <v>50</v>
      </c>
      <c r="AU19" s="7" t="s">
        <v>50</v>
      </c>
      <c r="AV19" s="8" t="s">
        <v>50</v>
      </c>
      <c r="AW19" s="8"/>
      <c r="AX19" s="8" t="s">
        <v>50</v>
      </c>
      <c r="AY19" s="8" t="s">
        <v>50</v>
      </c>
      <c r="AZ19" s="21" t="s">
        <v>50</v>
      </c>
      <c r="BA19" s="21" t="s">
        <v>50</v>
      </c>
      <c r="BB19" s="8"/>
      <c r="BC19" s="9"/>
      <c r="BD19" s="34" t="s">
        <v>134</v>
      </c>
      <c r="BE19" s="22">
        <f t="shared" si="28"/>
        <v>19</v>
      </c>
      <c r="BF19" s="22">
        <f t="shared" si="0"/>
        <v>0</v>
      </c>
      <c r="BG19" s="22">
        <f t="shared" si="1"/>
        <v>0</v>
      </c>
      <c r="BH19" s="22">
        <f t="shared" si="2"/>
        <v>19</v>
      </c>
      <c r="BI19" s="22">
        <f t="shared" si="3"/>
        <v>4</v>
      </c>
      <c r="BJ19" s="22">
        <f t="shared" si="4"/>
        <v>3</v>
      </c>
      <c r="BK19" s="22">
        <f t="shared" si="5"/>
        <v>7</v>
      </c>
      <c r="BL19" s="22">
        <f t="shared" si="6"/>
        <v>0</v>
      </c>
      <c r="BM19" s="22">
        <f t="shared" si="7"/>
        <v>0</v>
      </c>
      <c r="BN19" s="22">
        <f t="shared" si="8"/>
        <v>0</v>
      </c>
      <c r="BO19" s="22">
        <f t="shared" si="9"/>
        <v>4</v>
      </c>
      <c r="BP19" s="22">
        <f t="shared" si="9"/>
        <v>3</v>
      </c>
      <c r="BQ19" s="22">
        <f t="shared" si="9"/>
        <v>7</v>
      </c>
      <c r="BR19" s="22">
        <f t="shared" si="10"/>
        <v>0</v>
      </c>
      <c r="BS19" s="22">
        <f t="shared" si="11"/>
        <v>0</v>
      </c>
      <c r="BT19" s="22">
        <f t="shared" si="12"/>
        <v>0</v>
      </c>
      <c r="BU19" s="22">
        <f t="shared" si="13"/>
        <v>0</v>
      </c>
      <c r="BV19" s="22">
        <f t="shared" si="14"/>
        <v>0</v>
      </c>
      <c r="BW19" s="22">
        <f t="shared" si="15"/>
        <v>0</v>
      </c>
      <c r="BX19" s="22">
        <f t="shared" si="16"/>
        <v>0</v>
      </c>
      <c r="BY19" s="22">
        <f t="shared" si="17"/>
        <v>0</v>
      </c>
      <c r="BZ19" s="22">
        <f t="shared" si="18"/>
        <v>0</v>
      </c>
      <c r="CA19" s="22">
        <f t="shared" si="19"/>
        <v>0</v>
      </c>
      <c r="CB19" s="22">
        <f t="shared" si="20"/>
        <v>0</v>
      </c>
      <c r="CC19" s="22">
        <f t="shared" si="21"/>
        <v>0</v>
      </c>
      <c r="CD19" s="22">
        <f t="shared" si="22"/>
        <v>0</v>
      </c>
      <c r="CE19" s="22">
        <f t="shared" si="23"/>
        <v>0</v>
      </c>
      <c r="CF19" s="22">
        <f t="shared" si="24"/>
        <v>0</v>
      </c>
      <c r="CG19" s="22">
        <f t="shared" si="25"/>
        <v>0</v>
      </c>
      <c r="CH19" s="22">
        <f t="shared" si="26"/>
        <v>11</v>
      </c>
      <c r="CI19" s="34">
        <f t="shared" si="27"/>
        <v>11</v>
      </c>
      <c r="CJ19" s="24">
        <f t="shared" si="29"/>
        <v>3</v>
      </c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</row>
    <row r="20" spans="1:156" s="14" customFormat="1" ht="49.5" customHeight="1" thickBot="1">
      <c r="A20" s="38"/>
      <c r="B20" s="22">
        <v>16</v>
      </c>
      <c r="C20" s="34" t="s">
        <v>137</v>
      </c>
      <c r="D20" s="49" t="s">
        <v>7</v>
      </c>
      <c r="E20" s="20" t="s">
        <v>46</v>
      </c>
      <c r="F20" s="20" t="s">
        <v>48</v>
      </c>
      <c r="G20" s="49" t="s">
        <v>7</v>
      </c>
      <c r="H20" s="49" t="s">
        <v>7</v>
      </c>
      <c r="I20" s="49" t="s">
        <v>48</v>
      </c>
      <c r="J20" s="49" t="s">
        <v>61</v>
      </c>
      <c r="K20" s="21" t="s">
        <v>7</v>
      </c>
      <c r="L20" s="20" t="s">
        <v>46</v>
      </c>
      <c r="M20" s="20" t="s">
        <v>48</v>
      </c>
      <c r="N20" s="49" t="s">
        <v>56</v>
      </c>
      <c r="O20" s="49" t="s">
        <v>51</v>
      </c>
      <c r="P20" s="49" t="s">
        <v>51</v>
      </c>
      <c r="Q20" s="49" t="s">
        <v>51</v>
      </c>
      <c r="R20" s="49" t="s">
        <v>51</v>
      </c>
      <c r="S20" s="21" t="s">
        <v>46</v>
      </c>
      <c r="T20" s="21" t="s">
        <v>49</v>
      </c>
      <c r="U20" s="49" t="s">
        <v>51</v>
      </c>
      <c r="V20" s="49" t="s">
        <v>51</v>
      </c>
      <c r="W20" s="49" t="s">
        <v>51</v>
      </c>
      <c r="X20" s="49" t="s">
        <v>51</v>
      </c>
      <c r="Y20" s="49" t="s">
        <v>46</v>
      </c>
      <c r="Z20" s="12" t="s">
        <v>50</v>
      </c>
      <c r="AA20" s="12" t="s">
        <v>50</v>
      </c>
      <c r="AB20" s="12" t="s">
        <v>50</v>
      </c>
      <c r="AC20" s="12"/>
      <c r="AD20" s="12" t="s">
        <v>53</v>
      </c>
      <c r="AE20" s="21" t="s">
        <v>53</v>
      </c>
      <c r="AF20" s="21" t="s">
        <v>53</v>
      </c>
      <c r="AG20" s="12" t="s">
        <v>53</v>
      </c>
      <c r="AH20" s="12"/>
      <c r="AI20" s="9"/>
      <c r="AJ20" s="12"/>
      <c r="AK20" s="12" t="s">
        <v>53</v>
      </c>
      <c r="AL20" s="21" t="s">
        <v>53</v>
      </c>
      <c r="AM20" s="21" t="s">
        <v>53</v>
      </c>
      <c r="AN20" s="8" t="s">
        <v>53</v>
      </c>
      <c r="AO20" s="8"/>
      <c r="AP20" s="8" t="s">
        <v>53</v>
      </c>
      <c r="AQ20" s="8" t="s">
        <v>53</v>
      </c>
      <c r="AR20" s="21" t="s">
        <v>53</v>
      </c>
      <c r="AS20" s="21" t="s">
        <v>53</v>
      </c>
      <c r="AT20" s="21"/>
      <c r="AU20" s="8" t="s">
        <v>53</v>
      </c>
      <c r="AV20" s="8" t="s">
        <v>53</v>
      </c>
      <c r="AW20" s="8"/>
      <c r="AX20" s="8" t="s">
        <v>53</v>
      </c>
      <c r="AY20" s="8" t="s">
        <v>53</v>
      </c>
      <c r="AZ20" s="21" t="s">
        <v>53</v>
      </c>
      <c r="BA20" s="21"/>
      <c r="BB20" s="9"/>
      <c r="BC20" s="9"/>
      <c r="BD20" s="35" t="s">
        <v>136</v>
      </c>
      <c r="BE20" s="22">
        <f t="shared" si="28"/>
        <v>3</v>
      </c>
      <c r="BF20" s="30">
        <f t="shared" si="0"/>
        <v>17</v>
      </c>
      <c r="BG20" s="22">
        <f t="shared" si="1"/>
        <v>0</v>
      </c>
      <c r="BH20" s="22">
        <f t="shared" si="2"/>
        <v>20</v>
      </c>
      <c r="BI20" s="22">
        <f t="shared" si="3"/>
        <v>4</v>
      </c>
      <c r="BJ20" s="22">
        <f t="shared" si="4"/>
        <v>3</v>
      </c>
      <c r="BK20" s="22">
        <f t="shared" si="5"/>
        <v>7</v>
      </c>
      <c r="BL20" s="22">
        <f t="shared" si="6"/>
        <v>0</v>
      </c>
      <c r="BM20" s="22">
        <f t="shared" si="7"/>
        <v>0</v>
      </c>
      <c r="BN20" s="22">
        <f t="shared" si="8"/>
        <v>0</v>
      </c>
      <c r="BO20" s="22">
        <f t="shared" si="9"/>
        <v>4</v>
      </c>
      <c r="BP20" s="22">
        <f t="shared" si="9"/>
        <v>3</v>
      </c>
      <c r="BQ20" s="22">
        <f t="shared" si="9"/>
        <v>7</v>
      </c>
      <c r="BR20" s="22">
        <f t="shared" si="10"/>
        <v>0</v>
      </c>
      <c r="BS20" s="22">
        <f t="shared" si="11"/>
        <v>0</v>
      </c>
      <c r="BT20" s="22">
        <f t="shared" si="12"/>
        <v>0</v>
      </c>
      <c r="BU20" s="22">
        <f t="shared" si="13"/>
        <v>0</v>
      </c>
      <c r="BV20" s="22">
        <f t="shared" si="14"/>
        <v>0</v>
      </c>
      <c r="BW20" s="22">
        <f t="shared" si="15"/>
        <v>0</v>
      </c>
      <c r="BX20" s="22">
        <f t="shared" si="16"/>
        <v>0</v>
      </c>
      <c r="BY20" s="22">
        <f t="shared" si="17"/>
        <v>0</v>
      </c>
      <c r="BZ20" s="22">
        <f t="shared" si="18"/>
        <v>0</v>
      </c>
      <c r="CA20" s="22">
        <f t="shared" si="19"/>
        <v>0</v>
      </c>
      <c r="CB20" s="22">
        <f t="shared" si="20"/>
        <v>0</v>
      </c>
      <c r="CC20" s="22">
        <f t="shared" si="21"/>
        <v>0</v>
      </c>
      <c r="CD20" s="22">
        <f t="shared" si="22"/>
        <v>0</v>
      </c>
      <c r="CE20" s="22">
        <f t="shared" si="23"/>
        <v>0</v>
      </c>
      <c r="CF20" s="22">
        <f t="shared" si="24"/>
        <v>0</v>
      </c>
      <c r="CG20" s="22">
        <f t="shared" si="25"/>
        <v>0</v>
      </c>
      <c r="CH20" s="22">
        <f t="shared" si="26"/>
        <v>10</v>
      </c>
      <c r="CI20" s="34">
        <f t="shared" si="27"/>
        <v>10</v>
      </c>
      <c r="CJ20" s="24">
        <f t="shared" si="29"/>
        <v>2</v>
      </c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</row>
    <row r="21" spans="1:156" s="3" customFormat="1" ht="49.5" customHeight="1">
      <c r="A21" s="38"/>
      <c r="B21" s="22">
        <v>1</v>
      </c>
      <c r="C21" s="34" t="s">
        <v>204</v>
      </c>
      <c r="D21" s="21" t="s">
        <v>51</v>
      </c>
      <c r="E21" s="21" t="s">
        <v>51</v>
      </c>
      <c r="F21" s="20" t="s">
        <v>51</v>
      </c>
      <c r="G21" s="20" t="s">
        <v>51</v>
      </c>
      <c r="H21" s="20" t="s">
        <v>46</v>
      </c>
      <c r="I21" s="20" t="s">
        <v>48</v>
      </c>
      <c r="J21" s="21" t="s">
        <v>51</v>
      </c>
      <c r="K21" s="21" t="s">
        <v>51</v>
      </c>
      <c r="L21" s="21" t="s">
        <v>51</v>
      </c>
      <c r="M21" s="21" t="s">
        <v>51</v>
      </c>
      <c r="N21" s="21" t="s">
        <v>46</v>
      </c>
      <c r="O21" s="20" t="s">
        <v>48</v>
      </c>
      <c r="P21" s="20" t="s">
        <v>51</v>
      </c>
      <c r="Q21" s="20" t="s">
        <v>51</v>
      </c>
      <c r="R21" s="20" t="s">
        <v>51</v>
      </c>
      <c r="S21" s="21" t="s">
        <v>51</v>
      </c>
      <c r="T21" s="21" t="s">
        <v>51</v>
      </c>
      <c r="U21" s="21" t="s">
        <v>46</v>
      </c>
      <c r="V21" s="20" t="s">
        <v>63</v>
      </c>
      <c r="W21" s="20" t="s">
        <v>51</v>
      </c>
      <c r="X21" s="20" t="s">
        <v>48</v>
      </c>
      <c r="Y21" s="20" t="s">
        <v>51</v>
      </c>
      <c r="Z21" s="10"/>
      <c r="AA21" s="10"/>
      <c r="AB21" s="10"/>
      <c r="AC21" s="10"/>
      <c r="AD21" s="10"/>
      <c r="AE21" s="21" t="s">
        <v>53</v>
      </c>
      <c r="AF21" s="20" t="s">
        <v>53</v>
      </c>
      <c r="AG21" s="7"/>
      <c r="AH21" s="7" t="s">
        <v>53</v>
      </c>
      <c r="AI21" s="8" t="s">
        <v>53</v>
      </c>
      <c r="AJ21" s="7" t="s">
        <v>53</v>
      </c>
      <c r="AK21" s="8" t="s">
        <v>53</v>
      </c>
      <c r="AL21" s="21"/>
      <c r="AM21" s="21"/>
      <c r="AN21" s="9"/>
      <c r="AO21" s="8" t="s">
        <v>53</v>
      </c>
      <c r="AP21" s="7" t="s">
        <v>53</v>
      </c>
      <c r="AQ21" s="8" t="s">
        <v>53</v>
      </c>
      <c r="AR21" s="21" t="s">
        <v>7</v>
      </c>
      <c r="AS21" s="20"/>
      <c r="AT21" s="21" t="s">
        <v>53</v>
      </c>
      <c r="AU21" s="8" t="s">
        <v>53</v>
      </c>
      <c r="AV21" s="8" t="s">
        <v>53</v>
      </c>
      <c r="AW21" s="8" t="s">
        <v>53</v>
      </c>
      <c r="AX21" s="8"/>
      <c r="AY21" s="7" t="s">
        <v>53</v>
      </c>
      <c r="AZ21" s="21" t="s">
        <v>53</v>
      </c>
      <c r="BA21" s="21" t="s">
        <v>53</v>
      </c>
      <c r="BB21" s="7" t="s">
        <v>53</v>
      </c>
      <c r="BC21" s="8"/>
      <c r="BD21" s="34" t="s">
        <v>149</v>
      </c>
      <c r="BE21" s="22">
        <f>COUNTIF(Z21:BC21,"D*")</f>
        <v>0</v>
      </c>
      <c r="BF21" s="30">
        <f>COUNTIF(Z21:BC21,"E*")</f>
        <v>18</v>
      </c>
      <c r="BG21" s="22">
        <f>COUNTIF(Z21:BC21,"N*")</f>
        <v>0</v>
      </c>
      <c r="BH21" s="22">
        <f>SUM(BE21:BG21)</f>
        <v>18</v>
      </c>
      <c r="BI21" s="22">
        <f>COUNTIF(D21:Y21, "例")</f>
        <v>3</v>
      </c>
      <c r="BJ21" s="22">
        <f>COUNTIF(D21:Y21, "*息*")</f>
        <v>4</v>
      </c>
      <c r="BK21" s="22">
        <f>BI21+BJ21</f>
        <v>7</v>
      </c>
      <c r="BL21" s="22">
        <f>COUNTIF(Z21:AE21, "例")</f>
        <v>0</v>
      </c>
      <c r="BM21" s="22">
        <f>COUNTIF(Z21:AE21,"*息*")</f>
        <v>0</v>
      </c>
      <c r="BN21" s="22">
        <f>BL21+BM21</f>
        <v>0</v>
      </c>
      <c r="BO21" s="22">
        <f>BI21+BL21</f>
        <v>3</v>
      </c>
      <c r="BP21" s="22">
        <f>BJ21+BM21</f>
        <v>4</v>
      </c>
      <c r="BQ21" s="22">
        <f>BK21+BN21</f>
        <v>7</v>
      </c>
      <c r="BR21" s="22">
        <f>COUNTIF(AF21:BC21,"例")</f>
        <v>0</v>
      </c>
      <c r="BS21" s="22">
        <f>COUNTIF(AF21:BC21,"*息*")</f>
        <v>0</v>
      </c>
      <c r="BT21" s="22">
        <f>SUM(BR21+BS21)</f>
        <v>0</v>
      </c>
      <c r="BU21" s="22">
        <f>COUNTIF(Z21:BC21,"*國*")</f>
        <v>0</v>
      </c>
      <c r="BV21" s="22">
        <f>COUNTIF(Z21:BC21,"例")</f>
        <v>0</v>
      </c>
      <c r="BW21" s="22">
        <f>COUNTIF(Z21:BC21,"息")</f>
        <v>0</v>
      </c>
      <c r="BX21" s="22">
        <f>COUNTIF(Z21:BC21,"國")</f>
        <v>0</v>
      </c>
      <c r="BY21" s="22">
        <f>COUNTIF(Z21:BC21,"補*")</f>
        <v>0</v>
      </c>
      <c r="BZ21" s="22">
        <f>COUNTIF(Z21:BC21,"特*")</f>
        <v>0</v>
      </c>
      <c r="CA21" s="22">
        <f>COUNTIF(Z21:BC21,"喪*")</f>
        <v>0</v>
      </c>
      <c r="CB21" s="22">
        <f>COUNTIF(Z21:BC21,"病")</f>
        <v>0</v>
      </c>
      <c r="CC21" s="22">
        <f>COUNTIF(Z21:BC21,"空")</f>
        <v>0</v>
      </c>
      <c r="CD21" s="22">
        <f>COUNTIF(Z21:BC21,"婚*")</f>
        <v>0</v>
      </c>
      <c r="CE21" s="22">
        <f>COUNTIF(Z21:BC21,"產檢")</f>
        <v>0</v>
      </c>
      <c r="CF21" s="22">
        <f>COUNTIF(Z21:BC21,"產*")</f>
        <v>0</v>
      </c>
      <c r="CG21" s="22">
        <f>COUNTIF(Z21:BC21,"公")</f>
        <v>0</v>
      </c>
      <c r="CH21" s="22">
        <f>COUNTIF(Z21:BC21, "")</f>
        <v>12</v>
      </c>
      <c r="CI21" s="34">
        <f>SUM(BV21:CH21)</f>
        <v>12</v>
      </c>
      <c r="CJ21" s="24">
        <f>COUNTIF(AE21:AF21,"")+COUNTIF(AL21:AM21,"")+COUNTIF(AR21:AT21,"")+ COUNTIF(AZ21:BA21,"")+ COUNTIF(AE21:AF21,"例")+COUNTIF(AL21:AM21,"例")+COUNTIF(AR21:AT21,"例")+COUNTIF(AZ21:BA21,"例")+ COUNTIF(AE21:AF21,"息")+COUNTIF(AL21:AM21,"息")+COUNTIF(AR21:AT21,"息")+ COUNTIF(AZ21:BA21,"息")+COUNTIF(AE21:AF21,"特")+COUNTIF(AL21:AM21,"特")+COUNTIF(AR21:AT21,"特")+COUNTIF(AZ21:BA21,"特")+COUNTIF(AE21:AF21,"補*")+COUNTIF(AL21:AM21,"補*")+COUNTIF(AR21:AT21,"補*")+COUNTIF(AZ21:BA21,"補*")+COUNTIF(AE21:AF21,"喪")+COUNTIF(AL21:AM21,"喪")+COUNTIF(AR21:AT21,"喪")+COUNTIF(AZ21:BA21,"喪")</f>
        <v>3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</row>
    <row r="22" spans="1:156" s="3" customFormat="1" ht="49.5" customHeight="1">
      <c r="A22" s="38"/>
      <c r="B22" s="22">
        <v>2</v>
      </c>
      <c r="C22" s="22" t="s">
        <v>205</v>
      </c>
      <c r="D22" s="21" t="s">
        <v>51</v>
      </c>
      <c r="E22" s="21" t="s">
        <v>46</v>
      </c>
      <c r="F22" s="21" t="s">
        <v>51</v>
      </c>
      <c r="G22" s="21" t="s">
        <v>51</v>
      </c>
      <c r="H22" s="21" t="s">
        <v>48</v>
      </c>
      <c r="I22" s="21" t="s">
        <v>51</v>
      </c>
      <c r="J22" s="21" t="s">
        <v>51</v>
      </c>
      <c r="K22" s="20" t="s">
        <v>51</v>
      </c>
      <c r="L22" s="20" t="s">
        <v>51</v>
      </c>
      <c r="M22" s="20" t="s">
        <v>46</v>
      </c>
      <c r="N22" s="20" t="s">
        <v>48</v>
      </c>
      <c r="O22" s="21" t="s">
        <v>48</v>
      </c>
      <c r="P22" s="21" t="s">
        <v>56</v>
      </c>
      <c r="Q22" s="21" t="s">
        <v>47</v>
      </c>
      <c r="R22" s="21" t="s">
        <v>51</v>
      </c>
      <c r="S22" s="20" t="s">
        <v>51</v>
      </c>
      <c r="T22" s="20" t="s">
        <v>46</v>
      </c>
      <c r="U22" s="20" t="s">
        <v>51</v>
      </c>
      <c r="V22" s="21" t="s">
        <v>51</v>
      </c>
      <c r="W22" s="21" t="s">
        <v>51</v>
      </c>
      <c r="X22" s="21" t="s">
        <v>48</v>
      </c>
      <c r="Y22" s="21" t="s">
        <v>51</v>
      </c>
      <c r="Z22" s="7" t="s">
        <v>50</v>
      </c>
      <c r="AA22" s="7" t="s">
        <v>50</v>
      </c>
      <c r="AB22" s="7" t="s">
        <v>50</v>
      </c>
      <c r="AC22" s="8" t="s">
        <v>50</v>
      </c>
      <c r="AD22" s="8"/>
      <c r="AE22" s="21" t="s">
        <v>50</v>
      </c>
      <c r="AF22" s="21" t="s">
        <v>50</v>
      </c>
      <c r="AG22" s="8" t="s">
        <v>50</v>
      </c>
      <c r="AH22" s="8"/>
      <c r="AI22" s="8" t="s">
        <v>50</v>
      </c>
      <c r="AJ22" s="8" t="s">
        <v>50</v>
      </c>
      <c r="AK22" s="8"/>
      <c r="AL22" s="21"/>
      <c r="AM22" s="21"/>
      <c r="AN22" s="9"/>
      <c r="AO22" s="9"/>
      <c r="AP22" s="8" t="s">
        <v>50</v>
      </c>
      <c r="AQ22" s="8" t="s">
        <v>50</v>
      </c>
      <c r="AR22" s="20" t="s">
        <v>7</v>
      </c>
      <c r="AS22" s="20" t="s">
        <v>53</v>
      </c>
      <c r="AT22" s="21"/>
      <c r="AU22" s="8" t="s">
        <v>7</v>
      </c>
      <c r="AV22" s="8" t="s">
        <v>7</v>
      </c>
      <c r="AW22" s="7" t="s">
        <v>7</v>
      </c>
      <c r="AX22" s="7" t="s">
        <v>7</v>
      </c>
      <c r="AY22" s="8"/>
      <c r="AZ22" s="21" t="s">
        <v>7</v>
      </c>
      <c r="BA22" s="21" t="s">
        <v>7</v>
      </c>
      <c r="BB22" s="8" t="s">
        <v>7</v>
      </c>
      <c r="BC22" s="8"/>
      <c r="BD22" s="34" t="s">
        <v>138</v>
      </c>
      <c r="BE22" s="22">
        <f t="shared" si="28"/>
        <v>11</v>
      </c>
      <c r="BF22" s="22">
        <f t="shared" si="0"/>
        <v>9</v>
      </c>
      <c r="BG22" s="22">
        <f t="shared" si="1"/>
        <v>0</v>
      </c>
      <c r="BH22" s="22">
        <f t="shared" si="2"/>
        <v>20</v>
      </c>
      <c r="BI22" s="22">
        <f t="shared" si="3"/>
        <v>3</v>
      </c>
      <c r="BJ22" s="22">
        <f t="shared" si="4"/>
        <v>4</v>
      </c>
      <c r="BK22" s="22">
        <f t="shared" si="5"/>
        <v>7</v>
      </c>
      <c r="BL22" s="22">
        <f t="shared" si="6"/>
        <v>0</v>
      </c>
      <c r="BM22" s="22">
        <f t="shared" si="7"/>
        <v>0</v>
      </c>
      <c r="BN22" s="22">
        <f t="shared" si="8"/>
        <v>0</v>
      </c>
      <c r="BO22" s="22">
        <f t="shared" si="9"/>
        <v>3</v>
      </c>
      <c r="BP22" s="22">
        <f t="shared" si="9"/>
        <v>4</v>
      </c>
      <c r="BQ22" s="22">
        <f t="shared" si="9"/>
        <v>7</v>
      </c>
      <c r="BR22" s="22">
        <f t="shared" si="10"/>
        <v>0</v>
      </c>
      <c r="BS22" s="22">
        <f t="shared" si="11"/>
        <v>0</v>
      </c>
      <c r="BT22" s="22">
        <f t="shared" si="12"/>
        <v>0</v>
      </c>
      <c r="BU22" s="22">
        <f t="shared" si="13"/>
        <v>0</v>
      </c>
      <c r="BV22" s="22">
        <f t="shared" si="14"/>
        <v>0</v>
      </c>
      <c r="BW22" s="22">
        <f t="shared" si="15"/>
        <v>0</v>
      </c>
      <c r="BX22" s="22">
        <f t="shared" si="16"/>
        <v>0</v>
      </c>
      <c r="BY22" s="22">
        <f t="shared" si="17"/>
        <v>0</v>
      </c>
      <c r="BZ22" s="22">
        <f t="shared" si="18"/>
        <v>0</v>
      </c>
      <c r="CA22" s="22">
        <f t="shared" si="19"/>
        <v>0</v>
      </c>
      <c r="CB22" s="22">
        <f t="shared" si="20"/>
        <v>0</v>
      </c>
      <c r="CC22" s="22">
        <f t="shared" si="21"/>
        <v>0</v>
      </c>
      <c r="CD22" s="22">
        <f t="shared" si="22"/>
        <v>0</v>
      </c>
      <c r="CE22" s="22">
        <f t="shared" si="23"/>
        <v>0</v>
      </c>
      <c r="CF22" s="22">
        <f t="shared" si="24"/>
        <v>0</v>
      </c>
      <c r="CG22" s="22">
        <f t="shared" si="25"/>
        <v>0</v>
      </c>
      <c r="CH22" s="22">
        <f t="shared" si="26"/>
        <v>10</v>
      </c>
      <c r="CI22" s="34">
        <f t="shared" si="27"/>
        <v>10</v>
      </c>
      <c r="CJ22" s="24">
        <f t="shared" si="29"/>
        <v>3</v>
      </c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</row>
    <row r="23" spans="1:156" s="3" customFormat="1" ht="49.5" customHeight="1">
      <c r="A23" s="38"/>
      <c r="B23" s="22">
        <v>3</v>
      </c>
      <c r="C23" s="34" t="s">
        <v>140</v>
      </c>
      <c r="D23" s="20" t="s">
        <v>46</v>
      </c>
      <c r="E23" s="20" t="s">
        <v>8</v>
      </c>
      <c r="F23" s="21" t="s">
        <v>8</v>
      </c>
      <c r="G23" s="21" t="s">
        <v>8</v>
      </c>
      <c r="H23" s="21" t="s">
        <v>8</v>
      </c>
      <c r="I23" s="21" t="s">
        <v>48</v>
      </c>
      <c r="J23" s="21" t="s">
        <v>8</v>
      </c>
      <c r="K23" s="21" t="s">
        <v>8</v>
      </c>
      <c r="L23" s="21" t="s">
        <v>8</v>
      </c>
      <c r="M23" s="20" t="s">
        <v>8</v>
      </c>
      <c r="N23" s="21" t="s">
        <v>46</v>
      </c>
      <c r="O23" s="21" t="s">
        <v>48</v>
      </c>
      <c r="P23" s="20" t="s">
        <v>8</v>
      </c>
      <c r="Q23" s="20" t="s">
        <v>8</v>
      </c>
      <c r="R23" s="20" t="s">
        <v>8</v>
      </c>
      <c r="S23" s="20" t="s">
        <v>46</v>
      </c>
      <c r="T23" s="20" t="s">
        <v>48</v>
      </c>
      <c r="U23" s="21" t="s">
        <v>8</v>
      </c>
      <c r="V23" s="21" t="s">
        <v>8</v>
      </c>
      <c r="W23" s="20" t="s">
        <v>48</v>
      </c>
      <c r="X23" s="20" t="s">
        <v>8</v>
      </c>
      <c r="Y23" s="20" t="s">
        <v>8</v>
      </c>
      <c r="Z23" s="7" t="s">
        <v>55</v>
      </c>
      <c r="AA23" s="8" t="s">
        <v>55</v>
      </c>
      <c r="AB23" s="8"/>
      <c r="AC23" s="8" t="s">
        <v>55</v>
      </c>
      <c r="AD23" s="8" t="s">
        <v>55</v>
      </c>
      <c r="AE23" s="21" t="s">
        <v>55</v>
      </c>
      <c r="AF23" s="21"/>
      <c r="AG23" s="8" t="s">
        <v>55</v>
      </c>
      <c r="AH23" s="8" t="s">
        <v>55</v>
      </c>
      <c r="AI23" s="8" t="s">
        <v>55</v>
      </c>
      <c r="AJ23" s="8"/>
      <c r="AK23" s="8" t="s">
        <v>55</v>
      </c>
      <c r="AL23" s="21" t="s">
        <v>55</v>
      </c>
      <c r="AM23" s="20" t="s">
        <v>55</v>
      </c>
      <c r="AN23" s="8"/>
      <c r="AO23" s="9"/>
      <c r="AP23" s="9"/>
      <c r="AQ23" s="9"/>
      <c r="AR23" s="21"/>
      <c r="AS23" s="21" t="s">
        <v>50</v>
      </c>
      <c r="AT23" s="21" t="s">
        <v>51</v>
      </c>
      <c r="AU23" s="8" t="s">
        <v>50</v>
      </c>
      <c r="AV23" s="8"/>
      <c r="AW23" s="8" t="s">
        <v>50</v>
      </c>
      <c r="AX23" s="8" t="s">
        <v>50</v>
      </c>
      <c r="AY23" s="8"/>
      <c r="AZ23" s="21" t="s">
        <v>50</v>
      </c>
      <c r="BA23" s="21" t="s">
        <v>50</v>
      </c>
      <c r="BB23" s="8" t="s">
        <v>50</v>
      </c>
      <c r="BC23" s="8" t="s">
        <v>50</v>
      </c>
      <c r="BD23" s="34" t="s">
        <v>140</v>
      </c>
      <c r="BE23" s="22">
        <f t="shared" si="28"/>
        <v>9</v>
      </c>
      <c r="BF23" s="22">
        <f t="shared" si="0"/>
        <v>0</v>
      </c>
      <c r="BG23" s="22">
        <f t="shared" si="1"/>
        <v>11</v>
      </c>
      <c r="BH23" s="22">
        <f t="shared" si="2"/>
        <v>20</v>
      </c>
      <c r="BI23" s="22">
        <f t="shared" si="3"/>
        <v>3</v>
      </c>
      <c r="BJ23" s="22">
        <f t="shared" si="4"/>
        <v>4</v>
      </c>
      <c r="BK23" s="22">
        <f t="shared" si="5"/>
        <v>7</v>
      </c>
      <c r="BL23" s="22">
        <f t="shared" si="6"/>
        <v>0</v>
      </c>
      <c r="BM23" s="22">
        <f t="shared" si="7"/>
        <v>0</v>
      </c>
      <c r="BN23" s="22">
        <f t="shared" si="8"/>
        <v>0</v>
      </c>
      <c r="BO23" s="22">
        <f t="shared" si="9"/>
        <v>3</v>
      </c>
      <c r="BP23" s="22">
        <f t="shared" si="9"/>
        <v>4</v>
      </c>
      <c r="BQ23" s="22">
        <f t="shared" si="9"/>
        <v>7</v>
      </c>
      <c r="BR23" s="22">
        <f t="shared" si="10"/>
        <v>0</v>
      </c>
      <c r="BS23" s="22">
        <f t="shared" si="11"/>
        <v>0</v>
      </c>
      <c r="BT23" s="22">
        <f t="shared" si="12"/>
        <v>0</v>
      </c>
      <c r="BU23" s="22">
        <f t="shared" si="13"/>
        <v>0</v>
      </c>
      <c r="BV23" s="22">
        <f t="shared" si="14"/>
        <v>0</v>
      </c>
      <c r="BW23" s="22">
        <f t="shared" si="15"/>
        <v>0</v>
      </c>
      <c r="BX23" s="22">
        <f t="shared" si="16"/>
        <v>0</v>
      </c>
      <c r="BY23" s="22">
        <f t="shared" si="17"/>
        <v>0</v>
      </c>
      <c r="BZ23" s="22">
        <f t="shared" si="18"/>
        <v>0</v>
      </c>
      <c r="CA23" s="22">
        <f t="shared" si="19"/>
        <v>0</v>
      </c>
      <c r="CB23" s="22">
        <f t="shared" si="20"/>
        <v>0</v>
      </c>
      <c r="CC23" s="22">
        <f t="shared" si="21"/>
        <v>0</v>
      </c>
      <c r="CD23" s="22">
        <f t="shared" si="22"/>
        <v>0</v>
      </c>
      <c r="CE23" s="22">
        <f t="shared" si="23"/>
        <v>0</v>
      </c>
      <c r="CF23" s="22">
        <f t="shared" si="24"/>
        <v>0</v>
      </c>
      <c r="CG23" s="22">
        <f t="shared" si="25"/>
        <v>0</v>
      </c>
      <c r="CH23" s="22">
        <f t="shared" si="26"/>
        <v>10</v>
      </c>
      <c r="CI23" s="34">
        <f t="shared" si="27"/>
        <v>10</v>
      </c>
      <c r="CJ23" s="24">
        <f t="shared" si="29"/>
        <v>2</v>
      </c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</row>
    <row r="24" spans="1:156" s="3" customFormat="1" ht="49.5" customHeight="1">
      <c r="A24" s="38"/>
      <c r="B24" s="22">
        <v>4</v>
      </c>
      <c r="C24" s="22" t="s">
        <v>141</v>
      </c>
      <c r="D24" s="20" t="s">
        <v>8</v>
      </c>
      <c r="E24" s="21" t="s">
        <v>8</v>
      </c>
      <c r="F24" s="21" t="s">
        <v>8</v>
      </c>
      <c r="G24" s="21" t="s">
        <v>46</v>
      </c>
      <c r="H24" s="21" t="s">
        <v>8</v>
      </c>
      <c r="I24" s="20" t="s">
        <v>8</v>
      </c>
      <c r="J24" s="21" t="s">
        <v>8</v>
      </c>
      <c r="K24" s="20" t="s">
        <v>46</v>
      </c>
      <c r="L24" s="21" t="s">
        <v>8</v>
      </c>
      <c r="M24" s="20" t="s">
        <v>8</v>
      </c>
      <c r="N24" s="20" t="s">
        <v>8</v>
      </c>
      <c r="O24" s="20"/>
      <c r="P24" s="20" t="s">
        <v>8</v>
      </c>
      <c r="Q24" s="20" t="s">
        <v>8</v>
      </c>
      <c r="R24" s="20" t="s">
        <v>56</v>
      </c>
      <c r="S24" s="20" t="s">
        <v>48</v>
      </c>
      <c r="T24" s="20" t="s">
        <v>48</v>
      </c>
      <c r="U24" s="20" t="s">
        <v>49</v>
      </c>
      <c r="V24" s="20" t="s">
        <v>46</v>
      </c>
      <c r="W24" s="20" t="s">
        <v>46</v>
      </c>
      <c r="X24" s="20" t="s">
        <v>48</v>
      </c>
      <c r="Y24" s="20" t="s">
        <v>8</v>
      </c>
      <c r="Z24" s="7" t="s">
        <v>55</v>
      </c>
      <c r="AA24" s="7" t="s">
        <v>55</v>
      </c>
      <c r="AB24" s="9"/>
      <c r="AC24" s="8"/>
      <c r="AD24" s="8" t="s">
        <v>55</v>
      </c>
      <c r="AE24" s="20" t="s">
        <v>55</v>
      </c>
      <c r="AF24" s="21" t="s">
        <v>55</v>
      </c>
      <c r="AG24" s="8"/>
      <c r="AH24" s="8"/>
      <c r="AI24" s="8" t="s">
        <v>55</v>
      </c>
      <c r="AJ24" s="8" t="s">
        <v>55</v>
      </c>
      <c r="AK24" s="9"/>
      <c r="AL24" s="21"/>
      <c r="AM24" s="21"/>
      <c r="AN24" s="8"/>
      <c r="AO24" s="8" t="s">
        <v>55</v>
      </c>
      <c r="AP24" s="8" t="s">
        <v>55</v>
      </c>
      <c r="AQ24" s="8" t="s">
        <v>55</v>
      </c>
      <c r="AR24" s="21" t="s">
        <v>55</v>
      </c>
      <c r="AS24" s="21"/>
      <c r="AT24" s="21" t="s">
        <v>55</v>
      </c>
      <c r="AU24" s="8" t="s">
        <v>55</v>
      </c>
      <c r="AV24" s="8" t="s">
        <v>55</v>
      </c>
      <c r="AW24" s="8" t="s">
        <v>55</v>
      </c>
      <c r="AX24" s="7"/>
      <c r="AY24" s="7" t="s">
        <v>55</v>
      </c>
      <c r="AZ24" s="21" t="s">
        <v>55</v>
      </c>
      <c r="BA24" s="21" t="s">
        <v>55</v>
      </c>
      <c r="BB24" s="8" t="s">
        <v>55</v>
      </c>
      <c r="BC24" s="8"/>
      <c r="BD24" s="35" t="s">
        <v>151</v>
      </c>
      <c r="BE24" s="22">
        <f>COUNTIF(Z24:BC24,"D*")</f>
        <v>0</v>
      </c>
      <c r="BF24" s="22">
        <f>COUNTIF(Z24:BC24,"E*")</f>
        <v>0</v>
      </c>
      <c r="BG24" s="31">
        <f>COUNTIF(Z24:BC24,"N*")</f>
        <v>19</v>
      </c>
      <c r="BH24" s="22">
        <f>SUM(BE24:BG24)</f>
        <v>19</v>
      </c>
      <c r="BI24" s="22">
        <f>COUNTIF(D24:Y24, "例")</f>
        <v>4</v>
      </c>
      <c r="BJ24" s="22">
        <f>COUNTIF(D24:Y24, "*息*")</f>
        <v>3</v>
      </c>
      <c r="BK24" s="22">
        <f>BI24+BJ24</f>
        <v>7</v>
      </c>
      <c r="BL24" s="22">
        <f>COUNTIF(Z24:AE24, "例")</f>
        <v>0</v>
      </c>
      <c r="BM24" s="22">
        <f>COUNTIF(Z24:AE24,"*息*")</f>
        <v>0</v>
      </c>
      <c r="BN24" s="22">
        <f>BL24+BM24</f>
        <v>0</v>
      </c>
      <c r="BO24" s="22">
        <f t="shared" ref="BO24:BQ25" si="32">BI24+BL24</f>
        <v>4</v>
      </c>
      <c r="BP24" s="22">
        <f t="shared" si="32"/>
        <v>3</v>
      </c>
      <c r="BQ24" s="22">
        <f t="shared" si="32"/>
        <v>7</v>
      </c>
      <c r="BR24" s="22">
        <f>COUNTIF(AF24:BC24,"例")</f>
        <v>0</v>
      </c>
      <c r="BS24" s="22">
        <f>COUNTIF(AF24:BC24,"*息*")</f>
        <v>0</v>
      </c>
      <c r="BT24" s="22">
        <f>SUM(BR24+BS24)</f>
        <v>0</v>
      </c>
      <c r="BU24" s="22">
        <f>COUNTIF(Z24:BC24,"*國*")</f>
        <v>0</v>
      </c>
      <c r="BV24" s="22">
        <f>COUNTIF(Z24:BC24,"例")</f>
        <v>0</v>
      </c>
      <c r="BW24" s="22">
        <f>COUNTIF(Z24:BC24,"息")</f>
        <v>0</v>
      </c>
      <c r="BX24" s="22">
        <f>COUNTIF(Z24:BC24,"國")</f>
        <v>0</v>
      </c>
      <c r="BY24" s="22">
        <f>COUNTIF(Z24:BC24,"補*")</f>
        <v>0</v>
      </c>
      <c r="BZ24" s="22">
        <f>COUNTIF(Z24:BC24,"特*")</f>
        <v>0</v>
      </c>
      <c r="CA24" s="22">
        <f>COUNTIF(Z24:BC24,"喪*")</f>
        <v>0</v>
      </c>
      <c r="CB24" s="22">
        <f>COUNTIF(Z24:BC24,"病")</f>
        <v>0</v>
      </c>
      <c r="CC24" s="22">
        <f>COUNTIF(Z24:BC24,"空")</f>
        <v>0</v>
      </c>
      <c r="CD24" s="22">
        <f>COUNTIF(Z24:BC24,"婚*")</f>
        <v>0</v>
      </c>
      <c r="CE24" s="22">
        <f>COUNTIF(Z24:BC24,"產檢")</f>
        <v>0</v>
      </c>
      <c r="CF24" s="22">
        <f>COUNTIF(Z24:BC24,"產*")</f>
        <v>0</v>
      </c>
      <c r="CG24" s="22">
        <f>COUNTIF(Z24:BC24,"公")</f>
        <v>0</v>
      </c>
      <c r="CH24" s="22">
        <f>COUNTIF(Z24:BC24, "")</f>
        <v>11</v>
      </c>
      <c r="CI24" s="34">
        <f>SUM(BV24:CH24)</f>
        <v>11</v>
      </c>
      <c r="CJ24" s="24">
        <f>COUNTIF(AE24:AF24,"")+COUNTIF(AL24:AM24,"")+COUNTIF(AR24:AT24,"")+ COUNTIF(AZ24:BA24,"")+ COUNTIF(AE24:AF24,"例")+COUNTIF(AL24:AM24,"例")+COUNTIF(AR24:AT24,"例")+COUNTIF(AZ24:BA24,"例")+ COUNTIF(AE24:AF24,"息")+COUNTIF(AL24:AM24,"息")+COUNTIF(AR24:AT24,"息")+ COUNTIF(AZ24:BA24,"息")+COUNTIF(AE24:AF24,"特")+COUNTIF(AL24:AM24,"特")+COUNTIF(AR24:AT24,"特")+COUNTIF(AZ24:BA24,"特")+COUNTIF(AE24:AF24,"補*")+COUNTIF(AL24:AM24,"補*")+COUNTIF(AR24:AT24,"補*")+COUNTIF(AZ24:BA24,"補*")+COUNTIF(AE24:AF24,"喪")+COUNTIF(AL24:AM24,"喪")+COUNTIF(AR24:AT24,"喪")+COUNTIF(AZ24:BA24,"喪")</f>
        <v>3</v>
      </c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</row>
    <row r="25" spans="1:156" s="3" customFormat="1" ht="49.5" customHeight="1">
      <c r="A25" s="38"/>
      <c r="B25" s="22">
        <v>5</v>
      </c>
      <c r="C25" s="34" t="s">
        <v>142</v>
      </c>
      <c r="D25" s="21" t="s">
        <v>46</v>
      </c>
      <c r="E25" s="21" t="s">
        <v>49</v>
      </c>
      <c r="F25" s="20" t="s">
        <v>56</v>
      </c>
      <c r="G25" s="20" t="s">
        <v>48</v>
      </c>
      <c r="H25" s="21" t="s">
        <v>48</v>
      </c>
      <c r="I25" s="21" t="s">
        <v>7</v>
      </c>
      <c r="J25" s="21" t="s">
        <v>7</v>
      </c>
      <c r="K25" s="21" t="s">
        <v>7</v>
      </c>
      <c r="L25" s="21" t="s">
        <v>46</v>
      </c>
      <c r="M25" s="21" t="s">
        <v>48</v>
      </c>
      <c r="N25" s="21" t="s">
        <v>7</v>
      </c>
      <c r="O25" s="20" t="s">
        <v>7</v>
      </c>
      <c r="P25" s="20" t="s">
        <v>7</v>
      </c>
      <c r="Q25" s="20" t="s">
        <v>7</v>
      </c>
      <c r="R25" s="20" t="s">
        <v>7</v>
      </c>
      <c r="S25" s="21" t="s">
        <v>46</v>
      </c>
      <c r="T25" s="21" t="s">
        <v>48</v>
      </c>
      <c r="U25" s="21" t="s">
        <v>7</v>
      </c>
      <c r="V25" s="20" t="s">
        <v>7</v>
      </c>
      <c r="W25" s="20" t="s">
        <v>7</v>
      </c>
      <c r="X25" s="20" t="s">
        <v>7</v>
      </c>
      <c r="Y25" s="20" t="s">
        <v>7</v>
      </c>
      <c r="Z25" s="8"/>
      <c r="AA25" s="8" t="s">
        <v>53</v>
      </c>
      <c r="AB25" s="8" t="s">
        <v>53</v>
      </c>
      <c r="AC25" s="8" t="s">
        <v>53</v>
      </c>
      <c r="AD25" s="8" t="s">
        <v>53</v>
      </c>
      <c r="AE25" s="21"/>
      <c r="AF25" s="21" t="s">
        <v>53</v>
      </c>
      <c r="AG25" s="8" t="s">
        <v>53</v>
      </c>
      <c r="AH25" s="8" t="s">
        <v>53</v>
      </c>
      <c r="AI25" s="7"/>
      <c r="AJ25" s="8" t="s">
        <v>53</v>
      </c>
      <c r="AK25" s="8" t="s">
        <v>53</v>
      </c>
      <c r="AL25" s="21" t="s">
        <v>53</v>
      </c>
      <c r="AM25" s="21" t="s">
        <v>53</v>
      </c>
      <c r="AN25" s="8" t="s">
        <v>7</v>
      </c>
      <c r="AO25" s="8"/>
      <c r="AP25" s="8" t="s">
        <v>7</v>
      </c>
      <c r="AQ25" s="8" t="s">
        <v>53</v>
      </c>
      <c r="AR25" s="21"/>
      <c r="AS25" s="21"/>
      <c r="AT25" s="21"/>
      <c r="AU25" s="8" t="s">
        <v>53</v>
      </c>
      <c r="AV25" s="8" t="s">
        <v>53</v>
      </c>
      <c r="AW25" s="8" t="s">
        <v>53</v>
      </c>
      <c r="AX25" s="8" t="s">
        <v>53</v>
      </c>
      <c r="AY25" s="8"/>
      <c r="AZ25" s="21" t="s">
        <v>53</v>
      </c>
      <c r="BA25" s="21" t="s">
        <v>53</v>
      </c>
      <c r="BB25" s="9"/>
      <c r="BC25" s="9"/>
      <c r="BD25" s="34" t="s">
        <v>145</v>
      </c>
      <c r="BE25" s="22">
        <f>COUNTIF(Z25:BC25,"D*")</f>
        <v>0</v>
      </c>
      <c r="BF25" s="30">
        <f>COUNTIF(Z25:BC25,"E*")</f>
        <v>20</v>
      </c>
      <c r="BG25" s="22">
        <f>COUNTIF(Z25:BC25,"N*")</f>
        <v>0</v>
      </c>
      <c r="BH25" s="22">
        <f>SUM(BE25:BG25)</f>
        <v>20</v>
      </c>
      <c r="BI25" s="22">
        <f>COUNTIF(D25:Y25, "例")</f>
        <v>3</v>
      </c>
      <c r="BJ25" s="22">
        <f>COUNTIF(D25:Y25, "*息*")</f>
        <v>4</v>
      </c>
      <c r="BK25" s="22">
        <f>BI25+BJ25</f>
        <v>7</v>
      </c>
      <c r="BL25" s="22">
        <f>COUNTIF(Z25:AE25, "例")</f>
        <v>0</v>
      </c>
      <c r="BM25" s="22">
        <f>COUNTIF(Z25:AE25,"*息*")</f>
        <v>0</v>
      </c>
      <c r="BN25" s="22">
        <f>BL25+BM25</f>
        <v>0</v>
      </c>
      <c r="BO25" s="22">
        <f t="shared" si="32"/>
        <v>3</v>
      </c>
      <c r="BP25" s="22">
        <f t="shared" si="32"/>
        <v>4</v>
      </c>
      <c r="BQ25" s="22">
        <f t="shared" si="32"/>
        <v>7</v>
      </c>
      <c r="BR25" s="22">
        <f>COUNTIF(AF25:BC25,"例")</f>
        <v>0</v>
      </c>
      <c r="BS25" s="22">
        <f>COUNTIF(AF25:BC25,"*息*")</f>
        <v>0</v>
      </c>
      <c r="BT25" s="22">
        <f>SUM(BR25+BS25)</f>
        <v>0</v>
      </c>
      <c r="BU25" s="22">
        <f>COUNTIF(Z25:BC25,"*國*")</f>
        <v>0</v>
      </c>
      <c r="BV25" s="22">
        <f>COUNTIF(Z25:BC25,"例")</f>
        <v>0</v>
      </c>
      <c r="BW25" s="22">
        <f>COUNTIF(Z25:BC25,"息")</f>
        <v>0</v>
      </c>
      <c r="BX25" s="22">
        <f>COUNTIF(Z25:BC25,"國")</f>
        <v>0</v>
      </c>
      <c r="BY25" s="22">
        <f>COUNTIF(Z25:BC25,"補*")</f>
        <v>0</v>
      </c>
      <c r="BZ25" s="22">
        <f>COUNTIF(Z25:BC25,"特*")</f>
        <v>0</v>
      </c>
      <c r="CA25" s="22">
        <f>COUNTIF(Z25:BC25,"喪*")</f>
        <v>0</v>
      </c>
      <c r="CB25" s="22">
        <f>COUNTIF(Z25:BC25,"病")</f>
        <v>0</v>
      </c>
      <c r="CC25" s="22">
        <f>COUNTIF(Z25:BC25,"空")</f>
        <v>0</v>
      </c>
      <c r="CD25" s="22">
        <f>COUNTIF(Z25:BC25,"婚*")</f>
        <v>0</v>
      </c>
      <c r="CE25" s="22">
        <f>COUNTIF(Z25:BC25,"產檢")</f>
        <v>0</v>
      </c>
      <c r="CF25" s="22">
        <f>COUNTIF(Z25:BC25,"產*")</f>
        <v>0</v>
      </c>
      <c r="CG25" s="22">
        <f>COUNTIF(Z25:BC25,"公")</f>
        <v>0</v>
      </c>
      <c r="CH25" s="22">
        <f>COUNTIF(Z25:BC25, "")</f>
        <v>10</v>
      </c>
      <c r="CI25" s="34">
        <f>SUM(BV25:CH25)</f>
        <v>10</v>
      </c>
      <c r="CJ25" s="24">
        <f>COUNTIF(AE25:AF25,"")+COUNTIF(AL25:AM25,"")+COUNTIF(AR25:AT25,"")+ COUNTIF(AZ25:BA25,"")+ COUNTIF(AE25:AF25,"例")+COUNTIF(AL25:AM25,"例")+COUNTIF(AR25:AT25,"例")+COUNTIF(AZ25:BA25,"例")+ COUNTIF(AE25:AF25,"息")+COUNTIF(AL25:AM25,"息")+COUNTIF(AR25:AT25,"息")+ COUNTIF(AZ25:BA25,"息")+COUNTIF(AE25:AF25,"特")+COUNTIF(AL25:AM25,"特")+COUNTIF(AR25:AT25,"特")+COUNTIF(AZ25:BA25,"特")+COUNTIF(AE25:AF25,"補*")+COUNTIF(AL25:AM25,"補*")+COUNTIF(AR25:AT25,"補*")+COUNTIF(AZ25:BA25,"補*")+COUNTIF(AE25:AF25,"喪")+COUNTIF(AL25:AM25,"喪")+COUNTIF(AR25:AT25,"喪")+COUNTIF(AZ25:BA25,"喪")</f>
        <v>4</v>
      </c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</row>
    <row r="26" spans="1:156" s="3" customFormat="1" ht="49.5" customHeight="1">
      <c r="A26" s="38"/>
      <c r="B26" s="22">
        <v>6</v>
      </c>
      <c r="C26" s="22" t="s">
        <v>143</v>
      </c>
      <c r="D26" s="20" t="s">
        <v>51</v>
      </c>
      <c r="E26" s="20" t="s">
        <v>51</v>
      </c>
      <c r="F26" s="20" t="s">
        <v>51</v>
      </c>
      <c r="G26" s="20" t="s">
        <v>46</v>
      </c>
      <c r="H26" s="20" t="s">
        <v>51</v>
      </c>
      <c r="I26" s="20" t="s">
        <v>51</v>
      </c>
      <c r="J26" s="20" t="s">
        <v>51</v>
      </c>
      <c r="K26" s="20" t="s">
        <v>51</v>
      </c>
      <c r="L26" s="21" t="s">
        <v>46</v>
      </c>
      <c r="M26" s="21" t="s">
        <v>7</v>
      </c>
      <c r="N26" s="20" t="s">
        <v>7</v>
      </c>
      <c r="O26" s="20" t="s">
        <v>7</v>
      </c>
      <c r="P26" s="21" t="s">
        <v>7</v>
      </c>
      <c r="Q26" s="20" t="s">
        <v>7</v>
      </c>
      <c r="R26" s="20" t="s">
        <v>56</v>
      </c>
      <c r="S26" s="20" t="s">
        <v>48</v>
      </c>
      <c r="T26" s="20" t="s">
        <v>48</v>
      </c>
      <c r="U26" s="20" t="s">
        <v>49</v>
      </c>
      <c r="V26" s="20" t="s">
        <v>46</v>
      </c>
      <c r="W26" s="21" t="s">
        <v>46</v>
      </c>
      <c r="X26" s="20" t="s">
        <v>48</v>
      </c>
      <c r="Y26" s="20" t="s">
        <v>7</v>
      </c>
      <c r="Z26" s="8" t="s">
        <v>53</v>
      </c>
      <c r="AA26" s="8"/>
      <c r="AB26" s="8" t="s">
        <v>55</v>
      </c>
      <c r="AC26" s="8" t="s">
        <v>55</v>
      </c>
      <c r="AD26" s="8"/>
      <c r="AE26" s="21"/>
      <c r="AF26" s="20" t="s">
        <v>55</v>
      </c>
      <c r="AG26" s="7" t="s">
        <v>55</v>
      </c>
      <c r="AH26" s="8" t="s">
        <v>55</v>
      </c>
      <c r="AI26" s="7" t="s">
        <v>55</v>
      </c>
      <c r="AJ26" s="7"/>
      <c r="AK26" s="7"/>
      <c r="AL26" s="21" t="s">
        <v>55</v>
      </c>
      <c r="AM26" s="21" t="s">
        <v>55</v>
      </c>
      <c r="AN26" s="7"/>
      <c r="AO26" s="8" t="s">
        <v>55</v>
      </c>
      <c r="AP26" s="8" t="s">
        <v>55</v>
      </c>
      <c r="AQ26" s="7" t="s">
        <v>55</v>
      </c>
      <c r="AR26" s="20" t="s">
        <v>55</v>
      </c>
      <c r="AS26" s="21"/>
      <c r="AT26" s="21"/>
      <c r="AU26" s="9"/>
      <c r="AV26" s="9"/>
      <c r="AW26" s="8" t="s">
        <v>55</v>
      </c>
      <c r="AX26" s="7" t="s">
        <v>55</v>
      </c>
      <c r="AY26" s="7"/>
      <c r="AZ26" s="21" t="s">
        <v>55</v>
      </c>
      <c r="BA26" s="21" t="s">
        <v>55</v>
      </c>
      <c r="BB26" s="8" t="s">
        <v>55</v>
      </c>
      <c r="BC26" s="7" t="s">
        <v>55</v>
      </c>
      <c r="BD26" s="34" t="s">
        <v>141</v>
      </c>
      <c r="BE26" s="22">
        <f t="shared" si="28"/>
        <v>0</v>
      </c>
      <c r="BF26" s="22">
        <f t="shared" si="0"/>
        <v>1</v>
      </c>
      <c r="BG26" s="31">
        <f t="shared" si="1"/>
        <v>18</v>
      </c>
      <c r="BH26" s="22">
        <f t="shared" si="2"/>
        <v>19</v>
      </c>
      <c r="BI26" s="22">
        <f t="shared" si="3"/>
        <v>4</v>
      </c>
      <c r="BJ26" s="22">
        <f t="shared" si="4"/>
        <v>3</v>
      </c>
      <c r="BK26" s="22">
        <f t="shared" si="5"/>
        <v>7</v>
      </c>
      <c r="BL26" s="22">
        <f t="shared" si="6"/>
        <v>0</v>
      </c>
      <c r="BM26" s="22">
        <f t="shared" si="7"/>
        <v>0</v>
      </c>
      <c r="BN26" s="22">
        <f t="shared" si="8"/>
        <v>0</v>
      </c>
      <c r="BO26" s="22">
        <f t="shared" si="9"/>
        <v>4</v>
      </c>
      <c r="BP26" s="22">
        <f t="shared" si="9"/>
        <v>3</v>
      </c>
      <c r="BQ26" s="22">
        <f t="shared" si="9"/>
        <v>7</v>
      </c>
      <c r="BR26" s="22">
        <f t="shared" si="10"/>
        <v>0</v>
      </c>
      <c r="BS26" s="22">
        <f t="shared" si="11"/>
        <v>0</v>
      </c>
      <c r="BT26" s="22">
        <f t="shared" si="12"/>
        <v>0</v>
      </c>
      <c r="BU26" s="22">
        <f t="shared" si="13"/>
        <v>0</v>
      </c>
      <c r="BV26" s="22">
        <f t="shared" si="14"/>
        <v>0</v>
      </c>
      <c r="BW26" s="22">
        <f t="shared" si="15"/>
        <v>0</v>
      </c>
      <c r="BX26" s="22">
        <f t="shared" si="16"/>
        <v>0</v>
      </c>
      <c r="BY26" s="22">
        <f t="shared" si="17"/>
        <v>0</v>
      </c>
      <c r="BZ26" s="22">
        <f t="shared" si="18"/>
        <v>0</v>
      </c>
      <c r="CA26" s="22">
        <f t="shared" si="19"/>
        <v>0</v>
      </c>
      <c r="CB26" s="22">
        <f t="shared" si="20"/>
        <v>0</v>
      </c>
      <c r="CC26" s="22">
        <f t="shared" si="21"/>
        <v>0</v>
      </c>
      <c r="CD26" s="22">
        <f t="shared" si="22"/>
        <v>0</v>
      </c>
      <c r="CE26" s="22">
        <f t="shared" si="23"/>
        <v>0</v>
      </c>
      <c r="CF26" s="22">
        <f t="shared" si="24"/>
        <v>0</v>
      </c>
      <c r="CG26" s="22">
        <f t="shared" si="25"/>
        <v>0</v>
      </c>
      <c r="CH26" s="22">
        <f t="shared" si="26"/>
        <v>11</v>
      </c>
      <c r="CI26" s="34">
        <f t="shared" si="27"/>
        <v>11</v>
      </c>
      <c r="CJ26" s="24">
        <f t="shared" si="29"/>
        <v>3</v>
      </c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</row>
    <row r="27" spans="1:156" s="3" customFormat="1" ht="49.5" customHeight="1">
      <c r="A27" s="38"/>
      <c r="B27" s="22">
        <v>7</v>
      </c>
      <c r="C27" s="34" t="s">
        <v>144</v>
      </c>
      <c r="D27" s="21" t="s">
        <v>56</v>
      </c>
      <c r="E27" s="20" t="s">
        <v>51</v>
      </c>
      <c r="F27" s="21" t="s">
        <v>51</v>
      </c>
      <c r="G27" s="21" t="s">
        <v>51</v>
      </c>
      <c r="H27" s="21" t="s">
        <v>51</v>
      </c>
      <c r="I27" s="21" t="s">
        <v>46</v>
      </c>
      <c r="J27" s="20" t="s">
        <v>48</v>
      </c>
      <c r="K27" s="20" t="s">
        <v>46</v>
      </c>
      <c r="L27" s="20" t="s">
        <v>47</v>
      </c>
      <c r="M27" s="20" t="s">
        <v>47</v>
      </c>
      <c r="N27" s="20" t="s">
        <v>48</v>
      </c>
      <c r="O27" s="20" t="s">
        <v>48</v>
      </c>
      <c r="P27" s="20" t="s">
        <v>48</v>
      </c>
      <c r="Q27" s="20" t="s">
        <v>51</v>
      </c>
      <c r="R27" s="20" t="s">
        <v>51</v>
      </c>
      <c r="S27" s="20" t="s">
        <v>46</v>
      </c>
      <c r="T27" s="20" t="s">
        <v>51</v>
      </c>
      <c r="U27" s="20" t="s">
        <v>51</v>
      </c>
      <c r="V27" s="20" t="s">
        <v>49</v>
      </c>
      <c r="W27" s="20" t="s">
        <v>51</v>
      </c>
      <c r="X27" s="20" t="s">
        <v>51</v>
      </c>
      <c r="Y27" s="20" t="s">
        <v>51</v>
      </c>
      <c r="Z27" s="7" t="s">
        <v>50</v>
      </c>
      <c r="AA27" s="7" t="s">
        <v>50</v>
      </c>
      <c r="AB27" s="9"/>
      <c r="AC27" s="9"/>
      <c r="AD27" s="8" t="s">
        <v>53</v>
      </c>
      <c r="AE27" s="20" t="s">
        <v>53</v>
      </c>
      <c r="AF27" s="21"/>
      <c r="AG27" s="7" t="s">
        <v>53</v>
      </c>
      <c r="AH27" s="8" t="s">
        <v>53</v>
      </c>
      <c r="AI27" s="8" t="s">
        <v>53</v>
      </c>
      <c r="AJ27" s="8" t="s">
        <v>53</v>
      </c>
      <c r="AK27" s="8"/>
      <c r="AL27" s="21" t="s">
        <v>53</v>
      </c>
      <c r="AM27" s="21" t="s">
        <v>53</v>
      </c>
      <c r="AN27" s="8" t="s">
        <v>53</v>
      </c>
      <c r="AO27" s="7"/>
      <c r="AP27" s="8" t="s">
        <v>53</v>
      </c>
      <c r="AQ27" s="8" t="s">
        <v>53</v>
      </c>
      <c r="AR27" s="21" t="s">
        <v>53</v>
      </c>
      <c r="AS27" s="21"/>
      <c r="AT27" s="21"/>
      <c r="AU27" s="7" t="s">
        <v>53</v>
      </c>
      <c r="AV27" s="7" t="s">
        <v>53</v>
      </c>
      <c r="AW27" s="7" t="s">
        <v>53</v>
      </c>
      <c r="AX27" s="8"/>
      <c r="AY27" s="8"/>
      <c r="AZ27" s="20" t="s">
        <v>53</v>
      </c>
      <c r="BA27" s="20" t="s">
        <v>53</v>
      </c>
      <c r="BB27" s="8"/>
      <c r="BC27" s="8" t="s">
        <v>53</v>
      </c>
      <c r="BD27" s="34" t="s">
        <v>144</v>
      </c>
      <c r="BE27" s="22">
        <f t="shared" si="28"/>
        <v>2</v>
      </c>
      <c r="BF27" s="30">
        <f t="shared" si="0"/>
        <v>18</v>
      </c>
      <c r="BG27" s="22">
        <f t="shared" si="1"/>
        <v>0</v>
      </c>
      <c r="BH27" s="22">
        <f t="shared" si="2"/>
        <v>20</v>
      </c>
      <c r="BI27" s="22">
        <f t="shared" si="3"/>
        <v>3</v>
      </c>
      <c r="BJ27" s="22">
        <f t="shared" si="4"/>
        <v>4</v>
      </c>
      <c r="BK27" s="22">
        <f t="shared" si="5"/>
        <v>7</v>
      </c>
      <c r="BL27" s="22">
        <f t="shared" si="6"/>
        <v>0</v>
      </c>
      <c r="BM27" s="22">
        <f t="shared" si="7"/>
        <v>0</v>
      </c>
      <c r="BN27" s="22">
        <f t="shared" si="8"/>
        <v>0</v>
      </c>
      <c r="BO27" s="22">
        <f t="shared" si="9"/>
        <v>3</v>
      </c>
      <c r="BP27" s="22">
        <f t="shared" si="9"/>
        <v>4</v>
      </c>
      <c r="BQ27" s="22">
        <f t="shared" si="9"/>
        <v>7</v>
      </c>
      <c r="BR27" s="22">
        <f t="shared" si="10"/>
        <v>0</v>
      </c>
      <c r="BS27" s="22">
        <f t="shared" si="11"/>
        <v>0</v>
      </c>
      <c r="BT27" s="22">
        <f t="shared" si="12"/>
        <v>0</v>
      </c>
      <c r="BU27" s="22">
        <f t="shared" si="13"/>
        <v>0</v>
      </c>
      <c r="BV27" s="22">
        <f t="shared" si="14"/>
        <v>0</v>
      </c>
      <c r="BW27" s="22">
        <f t="shared" si="15"/>
        <v>0</v>
      </c>
      <c r="BX27" s="22">
        <f t="shared" si="16"/>
        <v>0</v>
      </c>
      <c r="BY27" s="22">
        <f t="shared" si="17"/>
        <v>0</v>
      </c>
      <c r="BZ27" s="22">
        <f t="shared" si="18"/>
        <v>0</v>
      </c>
      <c r="CA27" s="22">
        <f t="shared" si="19"/>
        <v>0</v>
      </c>
      <c r="CB27" s="22">
        <f t="shared" si="20"/>
        <v>0</v>
      </c>
      <c r="CC27" s="22">
        <f t="shared" si="21"/>
        <v>0</v>
      </c>
      <c r="CD27" s="22">
        <f t="shared" si="22"/>
        <v>0</v>
      </c>
      <c r="CE27" s="22">
        <f t="shared" si="23"/>
        <v>0</v>
      </c>
      <c r="CF27" s="22">
        <f t="shared" si="24"/>
        <v>0</v>
      </c>
      <c r="CG27" s="22">
        <f t="shared" si="25"/>
        <v>0</v>
      </c>
      <c r="CH27" s="22">
        <f t="shared" si="26"/>
        <v>10</v>
      </c>
      <c r="CI27" s="34">
        <f t="shared" si="27"/>
        <v>10</v>
      </c>
      <c r="CJ27" s="24">
        <f t="shared" si="29"/>
        <v>3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</row>
    <row r="28" spans="1:156" s="3" customFormat="1" ht="49.5" customHeight="1">
      <c r="A28" s="38"/>
      <c r="B28" s="22">
        <v>8</v>
      </c>
      <c r="C28" s="22" t="s">
        <v>145</v>
      </c>
      <c r="D28" s="21" t="s">
        <v>8</v>
      </c>
      <c r="E28" s="21" t="s">
        <v>46</v>
      </c>
      <c r="F28" s="21" t="s">
        <v>8</v>
      </c>
      <c r="G28" s="20" t="s">
        <v>8</v>
      </c>
      <c r="H28" s="20" t="s">
        <v>48</v>
      </c>
      <c r="I28" s="20" t="s">
        <v>8</v>
      </c>
      <c r="J28" s="20" t="s">
        <v>8</v>
      </c>
      <c r="K28" s="20" t="s">
        <v>8</v>
      </c>
      <c r="L28" s="20" t="s">
        <v>46</v>
      </c>
      <c r="M28" s="20" t="s">
        <v>56</v>
      </c>
      <c r="N28" s="20" t="s">
        <v>8</v>
      </c>
      <c r="O28" s="20" t="s">
        <v>8</v>
      </c>
      <c r="P28" s="20" t="s">
        <v>48</v>
      </c>
      <c r="Q28" s="20" t="s">
        <v>48</v>
      </c>
      <c r="R28" s="20" t="s">
        <v>46</v>
      </c>
      <c r="S28" s="20" t="s">
        <v>8</v>
      </c>
      <c r="T28" s="20" t="s">
        <v>8</v>
      </c>
      <c r="U28" s="20" t="s">
        <v>8</v>
      </c>
      <c r="V28" s="20" t="s">
        <v>49</v>
      </c>
      <c r="W28" s="20" t="s">
        <v>8</v>
      </c>
      <c r="X28" s="20" t="s">
        <v>8</v>
      </c>
      <c r="Y28" s="20" t="s">
        <v>46</v>
      </c>
      <c r="Z28" s="7" t="s">
        <v>55</v>
      </c>
      <c r="AA28" s="8" t="s">
        <v>55</v>
      </c>
      <c r="AB28" s="7" t="s">
        <v>55</v>
      </c>
      <c r="AC28" s="7" t="s">
        <v>55</v>
      </c>
      <c r="AD28" s="8"/>
      <c r="AE28" s="21"/>
      <c r="AF28" s="21"/>
      <c r="AG28" s="8"/>
      <c r="AH28" s="8"/>
      <c r="AI28" s="7" t="s">
        <v>55</v>
      </c>
      <c r="AJ28" s="7" t="s">
        <v>55</v>
      </c>
      <c r="AK28" s="8"/>
      <c r="AL28" s="21" t="s">
        <v>55</v>
      </c>
      <c r="AM28" s="21" t="s">
        <v>55</v>
      </c>
      <c r="AN28" s="8" t="s">
        <v>55</v>
      </c>
      <c r="AO28" s="8" t="s">
        <v>55</v>
      </c>
      <c r="AP28" s="8"/>
      <c r="AQ28" s="9"/>
      <c r="AR28" s="21"/>
      <c r="AS28" s="21" t="s">
        <v>55</v>
      </c>
      <c r="AT28" s="21" t="s">
        <v>55</v>
      </c>
      <c r="AU28" s="7" t="s">
        <v>55</v>
      </c>
      <c r="AV28" s="7" t="s">
        <v>55</v>
      </c>
      <c r="AW28" s="8"/>
      <c r="AX28" s="8" t="s">
        <v>55</v>
      </c>
      <c r="AY28" s="8" t="s">
        <v>55</v>
      </c>
      <c r="AZ28" s="21"/>
      <c r="BA28" s="21" t="s">
        <v>55</v>
      </c>
      <c r="BB28" s="8" t="s">
        <v>55</v>
      </c>
      <c r="BC28" s="7" t="s">
        <v>55</v>
      </c>
      <c r="BD28" s="34" t="s">
        <v>139</v>
      </c>
      <c r="BE28" s="22">
        <f>COUNTIF(Z28:BC28,"D*")</f>
        <v>0</v>
      </c>
      <c r="BF28" s="22">
        <f>COUNTIF(Z28:BC28,"E*")</f>
        <v>0</v>
      </c>
      <c r="BG28" s="31">
        <f>COUNTIF(Z28:BC28,"N*")</f>
        <v>19</v>
      </c>
      <c r="BH28" s="22">
        <f>SUM(BE28:BG28)</f>
        <v>19</v>
      </c>
      <c r="BI28" s="22">
        <f>COUNTIF(D28:Y28, "例")</f>
        <v>4</v>
      </c>
      <c r="BJ28" s="22">
        <f>COUNTIF(D28:Y28, "*息*")</f>
        <v>3</v>
      </c>
      <c r="BK28" s="22">
        <f>BI28+BJ28</f>
        <v>7</v>
      </c>
      <c r="BL28" s="22">
        <f>COUNTIF(Z28:AE28, "例")</f>
        <v>0</v>
      </c>
      <c r="BM28" s="22">
        <f>COUNTIF(Z28:AE28,"*息*")</f>
        <v>0</v>
      </c>
      <c r="BN28" s="22">
        <f>BL28+BM28</f>
        <v>0</v>
      </c>
      <c r="BO28" s="22">
        <f>BI28+BL28</f>
        <v>4</v>
      </c>
      <c r="BP28" s="22">
        <f>BJ28+BM28</f>
        <v>3</v>
      </c>
      <c r="BQ28" s="22">
        <f>BK28+BN28</f>
        <v>7</v>
      </c>
      <c r="BR28" s="22">
        <f>COUNTIF(AF28:BC28,"例")</f>
        <v>0</v>
      </c>
      <c r="BS28" s="22">
        <f>COUNTIF(AF28:BC28,"*息*")</f>
        <v>0</v>
      </c>
      <c r="BT28" s="22">
        <f>SUM(BR28+BS28)</f>
        <v>0</v>
      </c>
      <c r="BU28" s="22">
        <f>COUNTIF(Z28:BC28,"*國*")</f>
        <v>0</v>
      </c>
      <c r="BV28" s="22">
        <f>COUNTIF(Z28:BC28,"例")</f>
        <v>0</v>
      </c>
      <c r="BW28" s="22">
        <f>COUNTIF(Z28:BC28,"息")</f>
        <v>0</v>
      </c>
      <c r="BX28" s="22">
        <f>COUNTIF(Z28:BC28,"國")</f>
        <v>0</v>
      </c>
      <c r="BY28" s="22">
        <f>COUNTIF(Z28:BC28,"補*")</f>
        <v>0</v>
      </c>
      <c r="BZ28" s="22">
        <f>COUNTIF(Z28:BC28,"特*")</f>
        <v>0</v>
      </c>
      <c r="CA28" s="22">
        <f>COUNTIF(Z28:BC28,"喪*")</f>
        <v>0</v>
      </c>
      <c r="CB28" s="22">
        <f>COUNTIF(Z28:BC28,"病")</f>
        <v>0</v>
      </c>
      <c r="CC28" s="22">
        <f>COUNTIF(Z28:BC28,"空")</f>
        <v>0</v>
      </c>
      <c r="CD28" s="22">
        <f>COUNTIF(Z28:BC28,"婚*")</f>
        <v>0</v>
      </c>
      <c r="CE28" s="22">
        <f>COUNTIF(Z28:BC28,"產檢")</f>
        <v>0</v>
      </c>
      <c r="CF28" s="22">
        <f>COUNTIF(Z28:BC28,"產*")</f>
        <v>0</v>
      </c>
      <c r="CG28" s="22">
        <f>COUNTIF(Z28:BC28,"公")</f>
        <v>0</v>
      </c>
      <c r="CH28" s="22">
        <f>COUNTIF(Z28:BC28, "")</f>
        <v>11</v>
      </c>
      <c r="CI28" s="34">
        <f>SUM(BV28:CH28)</f>
        <v>11</v>
      </c>
      <c r="CJ28" s="24">
        <f>COUNTIF(AE28:AF28,"")+COUNTIF(AL28:AM28,"")+COUNTIF(AR28:AT28,"")+ COUNTIF(AZ28:BA28,"")+ COUNTIF(AE28:AF28,"例")+COUNTIF(AL28:AM28,"例")+COUNTIF(AR28:AT28,"例")+COUNTIF(AZ28:BA28,"例")+ COUNTIF(AE28:AF28,"息")+COUNTIF(AL28:AM28,"息")+COUNTIF(AR28:AT28,"息")+ COUNTIF(AZ28:BA28,"息")+COUNTIF(AE28:AF28,"特")+COUNTIF(AL28:AM28,"特")+COUNTIF(AR28:AT28,"特")+COUNTIF(AZ28:BA28,"特")+COUNTIF(AE28:AF28,"補*")+COUNTIF(AL28:AM28,"補*")+COUNTIF(AR28:AT28,"補*")+COUNTIF(AZ28:BA28,"補*")+COUNTIF(AE28:AF28,"喪")+COUNTIF(AL28:AM28,"喪")+COUNTIF(AR28:AT28,"喪")+COUNTIF(AZ28:BA28,"喪")</f>
        <v>4</v>
      </c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</row>
    <row r="29" spans="1:156" s="3" customFormat="1" ht="49.5" customHeight="1">
      <c r="A29" s="38"/>
      <c r="B29" s="22">
        <v>9</v>
      </c>
      <c r="C29" s="34" t="s">
        <v>146</v>
      </c>
      <c r="D29" s="21" t="s">
        <v>7</v>
      </c>
      <c r="E29" s="21" t="s">
        <v>7</v>
      </c>
      <c r="F29" s="21" t="s">
        <v>7</v>
      </c>
      <c r="G29" s="20" t="s">
        <v>46</v>
      </c>
      <c r="H29" s="20" t="s">
        <v>48</v>
      </c>
      <c r="I29" s="21" t="s">
        <v>56</v>
      </c>
      <c r="J29" s="20" t="s">
        <v>7</v>
      </c>
      <c r="K29" s="20" t="s">
        <v>7</v>
      </c>
      <c r="L29" s="21" t="s">
        <v>7</v>
      </c>
      <c r="M29" s="20" t="s">
        <v>7</v>
      </c>
      <c r="N29" s="20" t="s">
        <v>46</v>
      </c>
      <c r="O29" s="20" t="s">
        <v>7</v>
      </c>
      <c r="P29" s="20" t="s">
        <v>7</v>
      </c>
      <c r="Q29" s="20" t="s">
        <v>48</v>
      </c>
      <c r="R29" s="20" t="s">
        <v>7</v>
      </c>
      <c r="S29" s="20" t="s">
        <v>7</v>
      </c>
      <c r="T29" s="20" t="s">
        <v>7</v>
      </c>
      <c r="U29" s="20" t="s">
        <v>46</v>
      </c>
      <c r="V29" s="20" t="s">
        <v>48</v>
      </c>
      <c r="W29" s="20" t="s">
        <v>46</v>
      </c>
      <c r="X29" s="20" t="s">
        <v>7</v>
      </c>
      <c r="Y29" s="20" t="s">
        <v>7</v>
      </c>
      <c r="Z29" s="7" t="s">
        <v>53</v>
      </c>
      <c r="AA29" s="8" t="s">
        <v>53</v>
      </c>
      <c r="AB29" s="8" t="s">
        <v>53</v>
      </c>
      <c r="AC29" s="8"/>
      <c r="AD29" s="9"/>
      <c r="AE29" s="21"/>
      <c r="AF29" s="21"/>
      <c r="AG29" s="7" t="s">
        <v>53</v>
      </c>
      <c r="AH29" s="8" t="s">
        <v>53</v>
      </c>
      <c r="AI29" s="8" t="s">
        <v>53</v>
      </c>
      <c r="AJ29" s="7"/>
      <c r="AK29" s="7" t="s">
        <v>53</v>
      </c>
      <c r="AL29" s="21" t="s">
        <v>53</v>
      </c>
      <c r="AM29" s="21" t="s">
        <v>53</v>
      </c>
      <c r="AN29" s="8" t="s">
        <v>53</v>
      </c>
      <c r="AO29" s="8" t="s">
        <v>53</v>
      </c>
      <c r="AP29" s="9"/>
      <c r="AQ29" s="8"/>
      <c r="AR29" s="21" t="s">
        <v>53</v>
      </c>
      <c r="AS29" s="21" t="s">
        <v>53</v>
      </c>
      <c r="AT29" s="21" t="s">
        <v>7</v>
      </c>
      <c r="AU29" s="8"/>
      <c r="AV29" s="8" t="s">
        <v>53</v>
      </c>
      <c r="AW29" s="7" t="s">
        <v>53</v>
      </c>
      <c r="AX29" s="7" t="s">
        <v>53</v>
      </c>
      <c r="AY29" s="7" t="s">
        <v>53</v>
      </c>
      <c r="AZ29" s="21"/>
      <c r="BA29" s="20"/>
      <c r="BB29" s="7" t="s">
        <v>53</v>
      </c>
      <c r="BC29" s="7" t="s">
        <v>53</v>
      </c>
      <c r="BD29" s="35" t="s">
        <v>146</v>
      </c>
      <c r="BE29" s="22">
        <f t="shared" si="28"/>
        <v>0</v>
      </c>
      <c r="BF29" s="30">
        <f t="shared" si="0"/>
        <v>20</v>
      </c>
      <c r="BG29" s="22">
        <f t="shared" si="1"/>
        <v>0</v>
      </c>
      <c r="BH29" s="22">
        <f t="shared" si="2"/>
        <v>20</v>
      </c>
      <c r="BI29" s="22">
        <f t="shared" si="3"/>
        <v>4</v>
      </c>
      <c r="BJ29" s="22">
        <f t="shared" si="4"/>
        <v>3</v>
      </c>
      <c r="BK29" s="22">
        <f t="shared" si="5"/>
        <v>7</v>
      </c>
      <c r="BL29" s="22">
        <f t="shared" si="6"/>
        <v>0</v>
      </c>
      <c r="BM29" s="22">
        <f t="shared" si="7"/>
        <v>0</v>
      </c>
      <c r="BN29" s="22">
        <f t="shared" si="8"/>
        <v>0</v>
      </c>
      <c r="BO29" s="22">
        <f t="shared" si="9"/>
        <v>4</v>
      </c>
      <c r="BP29" s="22">
        <f t="shared" si="9"/>
        <v>3</v>
      </c>
      <c r="BQ29" s="22">
        <f t="shared" si="9"/>
        <v>7</v>
      </c>
      <c r="BR29" s="22">
        <f t="shared" si="10"/>
        <v>0</v>
      </c>
      <c r="BS29" s="22">
        <f t="shared" si="11"/>
        <v>0</v>
      </c>
      <c r="BT29" s="22">
        <f t="shared" si="12"/>
        <v>0</v>
      </c>
      <c r="BU29" s="22">
        <f t="shared" si="13"/>
        <v>0</v>
      </c>
      <c r="BV29" s="22">
        <f t="shared" si="14"/>
        <v>0</v>
      </c>
      <c r="BW29" s="22">
        <f t="shared" si="15"/>
        <v>0</v>
      </c>
      <c r="BX29" s="22">
        <f t="shared" si="16"/>
        <v>0</v>
      </c>
      <c r="BY29" s="22">
        <f t="shared" si="17"/>
        <v>0</v>
      </c>
      <c r="BZ29" s="22">
        <f t="shared" si="18"/>
        <v>0</v>
      </c>
      <c r="CA29" s="22">
        <f t="shared" si="19"/>
        <v>0</v>
      </c>
      <c r="CB29" s="22">
        <f t="shared" si="20"/>
        <v>0</v>
      </c>
      <c r="CC29" s="22">
        <f t="shared" si="21"/>
        <v>0</v>
      </c>
      <c r="CD29" s="22">
        <f t="shared" si="22"/>
        <v>0</v>
      </c>
      <c r="CE29" s="22">
        <f t="shared" si="23"/>
        <v>0</v>
      </c>
      <c r="CF29" s="22">
        <f t="shared" si="24"/>
        <v>0</v>
      </c>
      <c r="CG29" s="22">
        <f t="shared" si="25"/>
        <v>0</v>
      </c>
      <c r="CH29" s="22">
        <f t="shared" si="26"/>
        <v>10</v>
      </c>
      <c r="CI29" s="34">
        <f t="shared" si="27"/>
        <v>10</v>
      </c>
      <c r="CJ29" s="24">
        <f t="shared" si="29"/>
        <v>4</v>
      </c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</row>
    <row r="30" spans="1:156" s="3" customFormat="1" ht="49.5" customHeight="1">
      <c r="A30" s="38"/>
      <c r="B30" s="22">
        <v>10</v>
      </c>
      <c r="C30" s="22" t="s">
        <v>147</v>
      </c>
      <c r="D30" s="21" t="s">
        <v>7</v>
      </c>
      <c r="E30" s="21" t="s">
        <v>7</v>
      </c>
      <c r="F30" s="21" t="s">
        <v>7</v>
      </c>
      <c r="G30" s="21" t="s">
        <v>46</v>
      </c>
      <c r="H30" s="21" t="s">
        <v>7</v>
      </c>
      <c r="I30" s="21" t="s">
        <v>7</v>
      </c>
      <c r="J30" s="21" t="s">
        <v>7</v>
      </c>
      <c r="K30" s="21" t="s">
        <v>46</v>
      </c>
      <c r="L30" s="20" t="s">
        <v>48</v>
      </c>
      <c r="M30" s="20" t="s">
        <v>48</v>
      </c>
      <c r="N30" s="20" t="s">
        <v>48</v>
      </c>
      <c r="O30" s="20" t="s">
        <v>48</v>
      </c>
      <c r="P30" s="20" t="s">
        <v>7</v>
      </c>
      <c r="Q30" s="20" t="s">
        <v>7</v>
      </c>
      <c r="R30" s="20" t="s">
        <v>7</v>
      </c>
      <c r="S30" s="20" t="s">
        <v>7</v>
      </c>
      <c r="T30" s="21" t="s">
        <v>7</v>
      </c>
      <c r="U30" s="20" t="s">
        <v>46</v>
      </c>
      <c r="V30" s="20" t="s">
        <v>7</v>
      </c>
      <c r="W30" s="20" t="s">
        <v>7</v>
      </c>
      <c r="X30" s="20" t="s">
        <v>7</v>
      </c>
      <c r="Y30" s="20" t="s">
        <v>7</v>
      </c>
      <c r="Z30" s="16" t="s">
        <v>53</v>
      </c>
      <c r="AA30" s="12"/>
      <c r="AB30" s="8"/>
      <c r="AC30" s="16" t="s">
        <v>53</v>
      </c>
      <c r="AD30" s="16" t="s">
        <v>53</v>
      </c>
      <c r="AE30" s="48" t="s">
        <v>53</v>
      </c>
      <c r="AF30" s="48" t="s">
        <v>53</v>
      </c>
      <c r="AG30" s="8"/>
      <c r="AH30" s="11" t="s">
        <v>53</v>
      </c>
      <c r="AI30" s="11" t="s">
        <v>53</v>
      </c>
      <c r="AJ30" s="11" t="s">
        <v>53</v>
      </c>
      <c r="AK30" s="7"/>
      <c r="AL30" s="50" t="s">
        <v>50</v>
      </c>
      <c r="AM30" s="48" t="s">
        <v>50</v>
      </c>
      <c r="AN30" s="11" t="s">
        <v>50</v>
      </c>
      <c r="AO30" s="9"/>
      <c r="AP30" s="9"/>
      <c r="AQ30" s="9"/>
      <c r="AR30" s="21"/>
      <c r="AS30" s="21"/>
      <c r="AT30" s="48" t="s">
        <v>51</v>
      </c>
      <c r="AU30" s="11" t="s">
        <v>50</v>
      </c>
      <c r="AV30" s="16" t="s">
        <v>50</v>
      </c>
      <c r="AW30" s="16" t="s">
        <v>50</v>
      </c>
      <c r="AX30" s="11"/>
      <c r="AY30" s="16" t="s">
        <v>50</v>
      </c>
      <c r="AZ30" s="50" t="s">
        <v>50</v>
      </c>
      <c r="BA30" s="48" t="s">
        <v>50</v>
      </c>
      <c r="BB30" s="16" t="s">
        <v>51</v>
      </c>
      <c r="BC30" s="16" t="s">
        <v>50</v>
      </c>
      <c r="BD30" s="34" t="s">
        <v>143</v>
      </c>
      <c r="BE30" s="22">
        <f>COUNTIF(Z30:BC30,"D*")</f>
        <v>12</v>
      </c>
      <c r="BF30" s="22">
        <f>COUNTIF(Z30:BC30,"E*")</f>
        <v>8</v>
      </c>
      <c r="BG30" s="22">
        <f>COUNTIF(Z30:BC30,"N*")</f>
        <v>0</v>
      </c>
      <c r="BH30" s="22">
        <f>SUM(BE30:BG30)</f>
        <v>20</v>
      </c>
      <c r="BI30" s="22">
        <f>COUNTIF(D30:Y30, "例")</f>
        <v>3</v>
      </c>
      <c r="BJ30" s="22">
        <f>COUNTIF(D30:Y30, "*息*")</f>
        <v>4</v>
      </c>
      <c r="BK30" s="22">
        <f>BI30+BJ30</f>
        <v>7</v>
      </c>
      <c r="BL30" s="22">
        <f>COUNTIF(Z30:AE30, "例")</f>
        <v>0</v>
      </c>
      <c r="BM30" s="22">
        <f>COUNTIF(Z30:AE30,"*息*")</f>
        <v>0</v>
      </c>
      <c r="BN30" s="22">
        <f>BL30+BM30</f>
        <v>0</v>
      </c>
      <c r="BO30" s="22">
        <f>BI30+BL30</f>
        <v>3</v>
      </c>
      <c r="BP30" s="22">
        <f>BJ30+BM30</f>
        <v>4</v>
      </c>
      <c r="BQ30" s="22">
        <f>BK30+BN30</f>
        <v>7</v>
      </c>
      <c r="BR30" s="22">
        <f>COUNTIF(AF30:BC30,"例")</f>
        <v>0</v>
      </c>
      <c r="BS30" s="22">
        <f>COUNTIF(AF30:BC30,"*息*")</f>
        <v>0</v>
      </c>
      <c r="BT30" s="22">
        <f>SUM(BR30+BS30)</f>
        <v>0</v>
      </c>
      <c r="BU30" s="22">
        <f>COUNTIF(Z30:BC30,"*國*")</f>
        <v>0</v>
      </c>
      <c r="BV30" s="22">
        <f>COUNTIF(Z30:BC30,"例")</f>
        <v>0</v>
      </c>
      <c r="BW30" s="22">
        <f>COUNTIF(Z30:BC30,"息")</f>
        <v>0</v>
      </c>
      <c r="BX30" s="22">
        <f>COUNTIF(Z30:BC30,"國")</f>
        <v>0</v>
      </c>
      <c r="BY30" s="22">
        <f>COUNTIF(Z30:BC30,"補*")</f>
        <v>0</v>
      </c>
      <c r="BZ30" s="22">
        <f>COUNTIF(Z30:BC30,"特*")</f>
        <v>0</v>
      </c>
      <c r="CA30" s="22">
        <f>COUNTIF(Z30:BC30,"喪*")</f>
        <v>0</v>
      </c>
      <c r="CB30" s="22">
        <f>COUNTIF(Z30:BC30,"病")</f>
        <v>0</v>
      </c>
      <c r="CC30" s="22">
        <f>COUNTIF(Z30:BC30,"空")</f>
        <v>0</v>
      </c>
      <c r="CD30" s="22">
        <f>COUNTIF(Z30:BC30,"婚*")</f>
        <v>0</v>
      </c>
      <c r="CE30" s="22">
        <f>COUNTIF(Z30:BC30,"產檢")</f>
        <v>0</v>
      </c>
      <c r="CF30" s="22">
        <f>COUNTIF(Z30:BC30,"產*")</f>
        <v>0</v>
      </c>
      <c r="CG30" s="22">
        <f>COUNTIF(Z30:BC30,"公")</f>
        <v>0</v>
      </c>
      <c r="CH30" s="22">
        <f>COUNTIF(Z30:BC30, "")</f>
        <v>10</v>
      </c>
      <c r="CI30" s="34">
        <f>SUM(BV30:CH30)</f>
        <v>10</v>
      </c>
      <c r="CJ30" s="24">
        <f>COUNTIF(AE30:AF30,"")+COUNTIF(AL30:AM30,"")+COUNTIF(AR30:AT30,"")+ COUNTIF(AZ30:BA30,"")+ COUNTIF(AE30:AF30,"例")+COUNTIF(AL30:AM30,"例")+COUNTIF(AR30:AT30,"例")+COUNTIF(AZ30:BA30,"例")+ COUNTIF(AE30:AF30,"息")+COUNTIF(AL30:AM30,"息")+COUNTIF(AR30:AT30,"息")+ COUNTIF(AZ30:BA30,"息")+COUNTIF(AE30:AF30,"特")+COUNTIF(AL30:AM30,"特")+COUNTIF(AR30:AT30,"特")+COUNTIF(AZ30:BA30,"特")+COUNTIF(AE30:AF30,"補*")+COUNTIF(AL30:AM30,"補*")+COUNTIF(AR30:AT30,"補*")+COUNTIF(AZ30:BA30,"補*")+COUNTIF(AE30:AF30,"喪")+COUNTIF(AL30:AM30,"喪")+COUNTIF(AR30:AT30,"喪")+COUNTIF(AZ30:BA30,"喪")</f>
        <v>2</v>
      </c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</row>
    <row r="31" spans="1:156" s="3" customFormat="1" ht="49.5" customHeight="1">
      <c r="A31" s="38"/>
      <c r="B31" s="22">
        <v>11</v>
      </c>
      <c r="C31" s="34" t="s">
        <v>148</v>
      </c>
      <c r="D31" s="21" t="s">
        <v>8</v>
      </c>
      <c r="E31" s="21" t="s">
        <v>8</v>
      </c>
      <c r="F31" s="21" t="s">
        <v>8</v>
      </c>
      <c r="G31" s="20" t="s">
        <v>46</v>
      </c>
      <c r="H31" s="20" t="s">
        <v>8</v>
      </c>
      <c r="I31" s="21" t="s">
        <v>8</v>
      </c>
      <c r="J31" s="21" t="s">
        <v>8</v>
      </c>
      <c r="K31" s="20" t="s">
        <v>46</v>
      </c>
      <c r="L31" s="20" t="s">
        <v>8</v>
      </c>
      <c r="M31" s="20" t="s">
        <v>49</v>
      </c>
      <c r="N31" s="21" t="s">
        <v>48</v>
      </c>
      <c r="O31" s="20" t="s">
        <v>48</v>
      </c>
      <c r="P31" s="20" t="s">
        <v>8</v>
      </c>
      <c r="Q31" s="21" t="s">
        <v>8</v>
      </c>
      <c r="R31" s="21" t="s">
        <v>8</v>
      </c>
      <c r="S31" s="21" t="s">
        <v>46</v>
      </c>
      <c r="T31" s="20" t="s">
        <v>48</v>
      </c>
      <c r="U31" s="21" t="s">
        <v>8</v>
      </c>
      <c r="V31" s="20" t="s">
        <v>8</v>
      </c>
      <c r="W31" s="20" t="s">
        <v>8</v>
      </c>
      <c r="X31" s="21" t="s">
        <v>56</v>
      </c>
      <c r="Y31" s="21" t="s">
        <v>46</v>
      </c>
      <c r="Z31" s="8" t="s">
        <v>55</v>
      </c>
      <c r="AA31" s="8" t="s">
        <v>55</v>
      </c>
      <c r="AB31" s="7" t="s">
        <v>55</v>
      </c>
      <c r="AC31" s="7"/>
      <c r="AD31" s="8" t="s">
        <v>55</v>
      </c>
      <c r="AE31" s="21" t="s">
        <v>55</v>
      </c>
      <c r="AF31" s="21"/>
      <c r="AG31" s="8" t="s">
        <v>55</v>
      </c>
      <c r="AH31" s="8" t="s">
        <v>55</v>
      </c>
      <c r="AI31" s="8" t="s">
        <v>55</v>
      </c>
      <c r="AJ31" s="7" t="s">
        <v>55</v>
      </c>
      <c r="AK31" s="7"/>
      <c r="AL31" s="21"/>
      <c r="AM31" s="21"/>
      <c r="AN31" s="8" t="s">
        <v>50</v>
      </c>
      <c r="AO31" s="8" t="s">
        <v>50</v>
      </c>
      <c r="AP31" s="8" t="s">
        <v>50</v>
      </c>
      <c r="AQ31" s="7"/>
      <c r="AR31" s="20" t="s">
        <v>50</v>
      </c>
      <c r="AS31" s="21" t="s">
        <v>50</v>
      </c>
      <c r="AT31" s="21" t="s">
        <v>51</v>
      </c>
      <c r="AU31" s="7" t="s">
        <v>50</v>
      </c>
      <c r="AV31" s="7"/>
      <c r="AW31" s="7"/>
      <c r="AX31" s="8" t="s">
        <v>50</v>
      </c>
      <c r="AY31" s="8" t="s">
        <v>51</v>
      </c>
      <c r="AZ31" s="21" t="s">
        <v>50</v>
      </c>
      <c r="BA31" s="21" t="s">
        <v>50</v>
      </c>
      <c r="BB31" s="9"/>
      <c r="BC31" s="9"/>
      <c r="BD31" s="35" t="s">
        <v>147</v>
      </c>
      <c r="BE31" s="22">
        <f t="shared" si="28"/>
        <v>11</v>
      </c>
      <c r="BF31" s="22">
        <f t="shared" si="0"/>
        <v>0</v>
      </c>
      <c r="BG31" s="22">
        <f t="shared" si="1"/>
        <v>9</v>
      </c>
      <c r="BH31" s="22">
        <f t="shared" si="2"/>
        <v>20</v>
      </c>
      <c r="BI31" s="22">
        <f t="shared" si="3"/>
        <v>4</v>
      </c>
      <c r="BJ31" s="22">
        <f t="shared" si="4"/>
        <v>3</v>
      </c>
      <c r="BK31" s="22">
        <f t="shared" si="5"/>
        <v>7</v>
      </c>
      <c r="BL31" s="22">
        <f t="shared" si="6"/>
        <v>0</v>
      </c>
      <c r="BM31" s="22">
        <f t="shared" si="7"/>
        <v>0</v>
      </c>
      <c r="BN31" s="22">
        <f t="shared" si="8"/>
        <v>0</v>
      </c>
      <c r="BO31" s="22">
        <f t="shared" si="9"/>
        <v>4</v>
      </c>
      <c r="BP31" s="22">
        <f t="shared" si="9"/>
        <v>3</v>
      </c>
      <c r="BQ31" s="22">
        <f t="shared" si="9"/>
        <v>7</v>
      </c>
      <c r="BR31" s="22">
        <f t="shared" si="10"/>
        <v>0</v>
      </c>
      <c r="BS31" s="22">
        <f t="shared" si="11"/>
        <v>0</v>
      </c>
      <c r="BT31" s="22">
        <f t="shared" si="12"/>
        <v>0</v>
      </c>
      <c r="BU31" s="22">
        <f t="shared" si="13"/>
        <v>0</v>
      </c>
      <c r="BV31" s="22">
        <f t="shared" si="14"/>
        <v>0</v>
      </c>
      <c r="BW31" s="22">
        <f t="shared" si="15"/>
        <v>0</v>
      </c>
      <c r="BX31" s="22">
        <f t="shared" si="16"/>
        <v>0</v>
      </c>
      <c r="BY31" s="22">
        <f t="shared" si="17"/>
        <v>0</v>
      </c>
      <c r="BZ31" s="22">
        <f t="shared" si="18"/>
        <v>0</v>
      </c>
      <c r="CA31" s="22">
        <f t="shared" si="19"/>
        <v>0</v>
      </c>
      <c r="CB31" s="22">
        <f t="shared" si="20"/>
        <v>0</v>
      </c>
      <c r="CC31" s="22">
        <f t="shared" si="21"/>
        <v>0</v>
      </c>
      <c r="CD31" s="22">
        <f t="shared" si="22"/>
        <v>0</v>
      </c>
      <c r="CE31" s="22">
        <f t="shared" si="23"/>
        <v>0</v>
      </c>
      <c r="CF31" s="22">
        <f t="shared" si="24"/>
        <v>0</v>
      </c>
      <c r="CG31" s="22">
        <f t="shared" si="25"/>
        <v>0</v>
      </c>
      <c r="CH31" s="22">
        <f t="shared" si="26"/>
        <v>10</v>
      </c>
      <c r="CI31" s="34">
        <f t="shared" si="27"/>
        <v>10</v>
      </c>
      <c r="CJ31" s="24">
        <f t="shared" si="29"/>
        <v>3</v>
      </c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</row>
    <row r="32" spans="1:156" s="3" customFormat="1" ht="49.5" customHeight="1">
      <c r="A32" s="38"/>
      <c r="B32" s="22">
        <v>12</v>
      </c>
      <c r="C32" s="22" t="s">
        <v>149</v>
      </c>
      <c r="D32" s="20" t="s">
        <v>7</v>
      </c>
      <c r="E32" s="20" t="s">
        <v>48</v>
      </c>
      <c r="F32" s="20" t="s">
        <v>46</v>
      </c>
      <c r="G32" s="20" t="s">
        <v>7</v>
      </c>
      <c r="H32" s="21" t="s">
        <v>7</v>
      </c>
      <c r="I32" s="21" t="s">
        <v>7</v>
      </c>
      <c r="J32" s="21" t="s">
        <v>46</v>
      </c>
      <c r="K32" s="21" t="s">
        <v>7</v>
      </c>
      <c r="L32" s="21" t="s">
        <v>7</v>
      </c>
      <c r="M32" s="21" t="s">
        <v>7</v>
      </c>
      <c r="N32" s="21" t="s">
        <v>7</v>
      </c>
      <c r="O32" s="20" t="s">
        <v>7</v>
      </c>
      <c r="P32" s="20" t="s">
        <v>7</v>
      </c>
      <c r="Q32" s="20" t="s">
        <v>7</v>
      </c>
      <c r="R32" s="20" t="s">
        <v>48</v>
      </c>
      <c r="S32" s="20" t="s">
        <v>46</v>
      </c>
      <c r="T32" s="21" t="s">
        <v>7</v>
      </c>
      <c r="U32" s="21" t="s">
        <v>7</v>
      </c>
      <c r="V32" s="20" t="s">
        <v>48</v>
      </c>
      <c r="W32" s="20" t="s">
        <v>7</v>
      </c>
      <c r="X32" s="20" t="s">
        <v>7</v>
      </c>
      <c r="Y32" s="20" t="s">
        <v>46</v>
      </c>
      <c r="Z32" s="9"/>
      <c r="AA32" s="9"/>
      <c r="AB32" s="9"/>
      <c r="AC32" s="8" t="s">
        <v>50</v>
      </c>
      <c r="AD32" s="8" t="s">
        <v>50</v>
      </c>
      <c r="AE32" s="21" t="s">
        <v>50</v>
      </c>
      <c r="AF32" s="21" t="s">
        <v>50</v>
      </c>
      <c r="AG32" s="8" t="s">
        <v>50</v>
      </c>
      <c r="AH32" s="8"/>
      <c r="AI32" s="9"/>
      <c r="AJ32" s="8"/>
      <c r="AK32" s="8" t="s">
        <v>50</v>
      </c>
      <c r="AL32" s="21" t="s">
        <v>50</v>
      </c>
      <c r="AM32" s="21" t="s">
        <v>50</v>
      </c>
      <c r="AN32" s="8" t="s">
        <v>50</v>
      </c>
      <c r="AO32" s="8"/>
      <c r="AP32" s="8" t="s">
        <v>50</v>
      </c>
      <c r="AQ32" s="8" t="s">
        <v>50</v>
      </c>
      <c r="AR32" s="21" t="s">
        <v>50</v>
      </c>
      <c r="AS32" s="21" t="s">
        <v>50</v>
      </c>
      <c r="AT32" s="21"/>
      <c r="AU32" s="8" t="s">
        <v>50</v>
      </c>
      <c r="AV32" s="8" t="s">
        <v>50</v>
      </c>
      <c r="AW32" s="8"/>
      <c r="AX32" s="8" t="s">
        <v>53</v>
      </c>
      <c r="AY32" s="8" t="s">
        <v>53</v>
      </c>
      <c r="AZ32" s="21"/>
      <c r="BA32" s="21" t="s">
        <v>53</v>
      </c>
      <c r="BB32" s="8" t="s">
        <v>53</v>
      </c>
      <c r="BC32" s="8" t="s">
        <v>53</v>
      </c>
      <c r="BD32" s="35" t="s">
        <v>148</v>
      </c>
      <c r="BE32" s="22">
        <f t="shared" si="28"/>
        <v>15</v>
      </c>
      <c r="BF32" s="22">
        <f t="shared" si="0"/>
        <v>5</v>
      </c>
      <c r="BG32" s="22">
        <f t="shared" si="1"/>
        <v>0</v>
      </c>
      <c r="BH32" s="22">
        <f t="shared" si="2"/>
        <v>20</v>
      </c>
      <c r="BI32" s="22">
        <f t="shared" si="3"/>
        <v>4</v>
      </c>
      <c r="BJ32" s="22">
        <f t="shared" si="4"/>
        <v>3</v>
      </c>
      <c r="BK32" s="22">
        <f t="shared" si="5"/>
        <v>7</v>
      </c>
      <c r="BL32" s="22">
        <f t="shared" si="6"/>
        <v>0</v>
      </c>
      <c r="BM32" s="22">
        <f t="shared" si="7"/>
        <v>0</v>
      </c>
      <c r="BN32" s="22">
        <f t="shared" si="8"/>
        <v>0</v>
      </c>
      <c r="BO32" s="22">
        <f t="shared" si="9"/>
        <v>4</v>
      </c>
      <c r="BP32" s="22">
        <f t="shared" si="9"/>
        <v>3</v>
      </c>
      <c r="BQ32" s="22">
        <f t="shared" si="9"/>
        <v>7</v>
      </c>
      <c r="BR32" s="22">
        <f t="shared" si="10"/>
        <v>0</v>
      </c>
      <c r="BS32" s="22">
        <f t="shared" si="11"/>
        <v>0</v>
      </c>
      <c r="BT32" s="22">
        <f t="shared" si="12"/>
        <v>0</v>
      </c>
      <c r="BU32" s="22">
        <f t="shared" si="13"/>
        <v>0</v>
      </c>
      <c r="BV32" s="22">
        <f t="shared" si="14"/>
        <v>0</v>
      </c>
      <c r="BW32" s="22">
        <f t="shared" si="15"/>
        <v>0</v>
      </c>
      <c r="BX32" s="22">
        <f t="shared" si="16"/>
        <v>0</v>
      </c>
      <c r="BY32" s="22">
        <f t="shared" si="17"/>
        <v>0</v>
      </c>
      <c r="BZ32" s="22">
        <f t="shared" si="18"/>
        <v>0</v>
      </c>
      <c r="CA32" s="22">
        <f t="shared" si="19"/>
        <v>0</v>
      </c>
      <c r="CB32" s="22">
        <f t="shared" si="20"/>
        <v>0</v>
      </c>
      <c r="CC32" s="22">
        <f t="shared" si="21"/>
        <v>0</v>
      </c>
      <c r="CD32" s="22">
        <f t="shared" si="22"/>
        <v>0</v>
      </c>
      <c r="CE32" s="22">
        <f t="shared" si="23"/>
        <v>0</v>
      </c>
      <c r="CF32" s="22">
        <f t="shared" si="24"/>
        <v>0</v>
      </c>
      <c r="CG32" s="22">
        <f t="shared" si="25"/>
        <v>0</v>
      </c>
      <c r="CH32" s="22">
        <f t="shared" si="26"/>
        <v>10</v>
      </c>
      <c r="CI32" s="34">
        <f t="shared" si="27"/>
        <v>10</v>
      </c>
      <c r="CJ32" s="24">
        <f t="shared" si="29"/>
        <v>2</v>
      </c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</row>
    <row r="33" spans="1:156" s="3" customFormat="1" ht="49.5" customHeight="1">
      <c r="A33" s="38"/>
      <c r="B33" s="22">
        <v>13</v>
      </c>
      <c r="C33" s="34" t="s">
        <v>150</v>
      </c>
      <c r="D33" s="20" t="s">
        <v>56</v>
      </c>
      <c r="E33" s="20" t="s">
        <v>51</v>
      </c>
      <c r="F33" s="20" t="s">
        <v>51</v>
      </c>
      <c r="G33" s="20" t="s">
        <v>46</v>
      </c>
      <c r="H33" s="20" t="s">
        <v>51</v>
      </c>
      <c r="I33" s="20" t="s">
        <v>51</v>
      </c>
      <c r="J33" s="20" t="s">
        <v>51</v>
      </c>
      <c r="K33" s="20" t="s">
        <v>8</v>
      </c>
      <c r="L33" s="20" t="s">
        <v>8</v>
      </c>
      <c r="M33" s="20" t="s">
        <v>48</v>
      </c>
      <c r="N33" s="20" t="s">
        <v>46</v>
      </c>
      <c r="O33" s="20" t="s">
        <v>48</v>
      </c>
      <c r="P33" s="20" t="s">
        <v>48</v>
      </c>
      <c r="Q33" s="20" t="s">
        <v>48</v>
      </c>
      <c r="R33" s="20" t="s">
        <v>8</v>
      </c>
      <c r="S33" s="20" t="s">
        <v>8</v>
      </c>
      <c r="T33" s="20" t="s">
        <v>8</v>
      </c>
      <c r="U33" s="20" t="s">
        <v>46</v>
      </c>
      <c r="V33" s="20" t="s">
        <v>8</v>
      </c>
      <c r="W33" s="20" t="s">
        <v>8</v>
      </c>
      <c r="X33" s="20" t="s">
        <v>8</v>
      </c>
      <c r="Y33" s="20" t="s">
        <v>8</v>
      </c>
      <c r="Z33" s="7" t="s">
        <v>55</v>
      </c>
      <c r="AA33" s="7"/>
      <c r="AB33" s="8" t="s">
        <v>55</v>
      </c>
      <c r="AC33" s="8" t="s">
        <v>55</v>
      </c>
      <c r="AD33" s="8" t="s">
        <v>55</v>
      </c>
      <c r="AE33" s="21"/>
      <c r="AF33" s="21"/>
      <c r="AG33" s="7" t="s">
        <v>55</v>
      </c>
      <c r="AH33" s="7" t="s">
        <v>55</v>
      </c>
      <c r="AI33" s="8" t="s">
        <v>55</v>
      </c>
      <c r="AJ33" s="7"/>
      <c r="AK33" s="8" t="s">
        <v>55</v>
      </c>
      <c r="AL33" s="20" t="s">
        <v>55</v>
      </c>
      <c r="AM33" s="21" t="s">
        <v>55</v>
      </c>
      <c r="AN33" s="7" t="s">
        <v>55</v>
      </c>
      <c r="AO33" s="7"/>
      <c r="AP33" s="8"/>
      <c r="AQ33" s="8" t="s">
        <v>55</v>
      </c>
      <c r="AR33" s="21" t="s">
        <v>55</v>
      </c>
      <c r="AS33" s="21" t="s">
        <v>55</v>
      </c>
      <c r="AT33" s="21" t="s">
        <v>55</v>
      </c>
      <c r="AU33" s="8"/>
      <c r="AV33" s="8"/>
      <c r="AW33" s="8" t="s">
        <v>55</v>
      </c>
      <c r="AX33" s="7" t="s">
        <v>55</v>
      </c>
      <c r="AY33" s="7" t="s">
        <v>55</v>
      </c>
      <c r="AZ33" s="20" t="s">
        <v>55</v>
      </c>
      <c r="BA33" s="20"/>
      <c r="BB33" s="9"/>
      <c r="BC33" s="9"/>
      <c r="BD33" s="34" t="s">
        <v>150</v>
      </c>
      <c r="BE33" s="22">
        <f t="shared" si="28"/>
        <v>0</v>
      </c>
      <c r="BF33" s="22">
        <f t="shared" si="0"/>
        <v>0</v>
      </c>
      <c r="BG33" s="31">
        <f t="shared" si="1"/>
        <v>19</v>
      </c>
      <c r="BH33" s="22">
        <f t="shared" si="2"/>
        <v>19</v>
      </c>
      <c r="BI33" s="22">
        <f t="shared" si="3"/>
        <v>3</v>
      </c>
      <c r="BJ33" s="22">
        <f t="shared" si="4"/>
        <v>4</v>
      </c>
      <c r="BK33" s="22">
        <f t="shared" si="5"/>
        <v>7</v>
      </c>
      <c r="BL33" s="22">
        <f t="shared" si="6"/>
        <v>0</v>
      </c>
      <c r="BM33" s="22">
        <f t="shared" si="7"/>
        <v>0</v>
      </c>
      <c r="BN33" s="22">
        <f t="shared" si="8"/>
        <v>0</v>
      </c>
      <c r="BO33" s="22">
        <f t="shared" si="9"/>
        <v>3</v>
      </c>
      <c r="BP33" s="22">
        <f t="shared" si="9"/>
        <v>4</v>
      </c>
      <c r="BQ33" s="22">
        <f t="shared" si="9"/>
        <v>7</v>
      </c>
      <c r="BR33" s="22">
        <f t="shared" si="10"/>
        <v>0</v>
      </c>
      <c r="BS33" s="22">
        <f t="shared" si="11"/>
        <v>0</v>
      </c>
      <c r="BT33" s="22">
        <f t="shared" si="12"/>
        <v>0</v>
      </c>
      <c r="BU33" s="22">
        <f t="shared" si="13"/>
        <v>0</v>
      </c>
      <c r="BV33" s="22">
        <f t="shared" si="14"/>
        <v>0</v>
      </c>
      <c r="BW33" s="22">
        <f t="shared" si="15"/>
        <v>0</v>
      </c>
      <c r="BX33" s="22">
        <f t="shared" si="16"/>
        <v>0</v>
      </c>
      <c r="BY33" s="22">
        <f t="shared" si="17"/>
        <v>0</v>
      </c>
      <c r="BZ33" s="22">
        <f t="shared" si="18"/>
        <v>0</v>
      </c>
      <c r="CA33" s="22">
        <f t="shared" si="19"/>
        <v>0</v>
      </c>
      <c r="CB33" s="22">
        <f t="shared" si="20"/>
        <v>0</v>
      </c>
      <c r="CC33" s="22">
        <f t="shared" si="21"/>
        <v>0</v>
      </c>
      <c r="CD33" s="22">
        <f t="shared" si="22"/>
        <v>0</v>
      </c>
      <c r="CE33" s="22">
        <f t="shared" si="23"/>
        <v>0</v>
      </c>
      <c r="CF33" s="22">
        <f t="shared" si="24"/>
        <v>0</v>
      </c>
      <c r="CG33" s="22">
        <f t="shared" si="25"/>
        <v>0</v>
      </c>
      <c r="CH33" s="22">
        <f t="shared" si="26"/>
        <v>11</v>
      </c>
      <c r="CI33" s="34">
        <f t="shared" si="27"/>
        <v>11</v>
      </c>
      <c r="CJ33" s="24">
        <f t="shared" si="29"/>
        <v>3</v>
      </c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</row>
    <row r="34" spans="1:156" s="15" customFormat="1" ht="49.5" customHeight="1">
      <c r="A34" s="38"/>
      <c r="B34" s="22">
        <v>14</v>
      </c>
      <c r="C34" s="22" t="s">
        <v>151</v>
      </c>
      <c r="D34" s="20" t="s">
        <v>51</v>
      </c>
      <c r="E34" s="20" t="s">
        <v>46</v>
      </c>
      <c r="F34" s="21" t="s">
        <v>56</v>
      </c>
      <c r="G34" s="21" t="s">
        <v>51</v>
      </c>
      <c r="H34" s="21" t="s">
        <v>51</v>
      </c>
      <c r="I34" s="20" t="s">
        <v>51</v>
      </c>
      <c r="J34" s="21" t="s">
        <v>48</v>
      </c>
      <c r="K34" s="21" t="s">
        <v>51</v>
      </c>
      <c r="L34" s="21" t="s">
        <v>51</v>
      </c>
      <c r="M34" s="21" t="s">
        <v>46</v>
      </c>
      <c r="N34" s="20" t="s">
        <v>48</v>
      </c>
      <c r="O34" s="21" t="s">
        <v>51</v>
      </c>
      <c r="P34" s="21" t="s">
        <v>51</v>
      </c>
      <c r="Q34" s="21" t="s">
        <v>51</v>
      </c>
      <c r="R34" s="21" t="s">
        <v>51</v>
      </c>
      <c r="S34" s="21" t="s">
        <v>46</v>
      </c>
      <c r="T34" s="21" t="s">
        <v>48</v>
      </c>
      <c r="U34" s="20" t="s">
        <v>51</v>
      </c>
      <c r="V34" s="21" t="s">
        <v>51</v>
      </c>
      <c r="W34" s="21" t="s">
        <v>51</v>
      </c>
      <c r="X34" s="21" t="s">
        <v>51</v>
      </c>
      <c r="Y34" s="21" t="s">
        <v>46</v>
      </c>
      <c r="Z34" s="89" t="s">
        <v>200</v>
      </c>
      <c r="AA34" s="90"/>
      <c r="AB34" s="90"/>
      <c r="AC34" s="91"/>
      <c r="AD34" s="91"/>
      <c r="AE34" s="90"/>
      <c r="AF34" s="90"/>
      <c r="AG34" s="91"/>
      <c r="AH34" s="91"/>
      <c r="AI34" s="91"/>
      <c r="AJ34" s="91"/>
      <c r="AK34" s="91"/>
      <c r="AL34" s="91"/>
      <c r="AM34" s="90"/>
      <c r="AN34" s="90"/>
      <c r="AO34" s="90"/>
      <c r="AP34" s="91"/>
      <c r="AQ34" s="91"/>
      <c r="AR34" s="91"/>
      <c r="AS34" s="90"/>
      <c r="AT34" s="91"/>
      <c r="AU34" s="91"/>
      <c r="AV34" s="91"/>
      <c r="AW34" s="91"/>
      <c r="AX34" s="90"/>
      <c r="AY34" s="91"/>
      <c r="AZ34" s="91"/>
      <c r="BA34" s="91"/>
      <c r="BB34" s="91"/>
      <c r="BC34" s="91"/>
      <c r="BD34" s="34" t="s">
        <v>142</v>
      </c>
      <c r="BE34" s="22">
        <f>COUNTIF(Z34:BC34,"D*")</f>
        <v>0</v>
      </c>
      <c r="BF34" s="22">
        <f>COUNTIF(Z34:BC34,"E*")</f>
        <v>0</v>
      </c>
      <c r="BG34" s="22">
        <f>COUNTIF(Z34:BC34,"N*")</f>
        <v>0</v>
      </c>
      <c r="BH34" s="22">
        <f>SUM(BE34:BG34)</f>
        <v>0</v>
      </c>
      <c r="BI34" s="22">
        <f>COUNTIF(D34:Y34, "例")</f>
        <v>4</v>
      </c>
      <c r="BJ34" s="22">
        <f>COUNTIF(D34:Y34, "*息*")</f>
        <v>3</v>
      </c>
      <c r="BK34" s="22">
        <f>BI34+BJ34</f>
        <v>7</v>
      </c>
      <c r="BL34" s="22">
        <f>COUNTIF(Z34:AE34, "例")</f>
        <v>0</v>
      </c>
      <c r="BM34" s="22">
        <f>COUNTIF(Z34:AE34,"*息*")</f>
        <v>0</v>
      </c>
      <c r="BN34" s="22">
        <f>BL34+BM34</f>
        <v>0</v>
      </c>
      <c r="BO34" s="22">
        <f>BI34+BL34</f>
        <v>4</v>
      </c>
      <c r="BP34" s="22">
        <f>BJ34+BM34</f>
        <v>3</v>
      </c>
      <c r="BQ34" s="22">
        <f>BK34+BN34</f>
        <v>7</v>
      </c>
      <c r="BR34" s="22">
        <f>COUNTIF(AF34:BC34,"例")</f>
        <v>0</v>
      </c>
      <c r="BS34" s="22">
        <f>COUNTIF(AF34:BC34,"*息*")</f>
        <v>0</v>
      </c>
      <c r="BT34" s="22">
        <f>SUM(BR34+BS34)</f>
        <v>0</v>
      </c>
      <c r="BU34" s="22">
        <f>COUNTIF(Z34:BC34,"*國*")</f>
        <v>0</v>
      </c>
      <c r="BV34" s="22">
        <f>COUNTIF(Z34:BC34,"例")</f>
        <v>0</v>
      </c>
      <c r="BW34" s="22">
        <f>COUNTIF(Z34:BC34,"息")</f>
        <v>0</v>
      </c>
      <c r="BX34" s="22">
        <f>COUNTIF(Z34:BC34,"國")</f>
        <v>0</v>
      </c>
      <c r="BY34" s="22">
        <f>COUNTIF(Z34:BC34,"補*")</f>
        <v>0</v>
      </c>
      <c r="BZ34" s="22">
        <f>COUNTIF(Z34:BC34,"特*")</f>
        <v>0</v>
      </c>
      <c r="CA34" s="22">
        <f>COUNTIF(Z34:BC34,"喪*")</f>
        <v>0</v>
      </c>
      <c r="CB34" s="22">
        <f>COUNTIF(Z34:BC34,"病")</f>
        <v>0</v>
      </c>
      <c r="CC34" s="22">
        <f>COUNTIF(Z34:BC34,"空")</f>
        <v>0</v>
      </c>
      <c r="CD34" s="22">
        <f>COUNTIF(Z34:BC34,"婚*")</f>
        <v>0</v>
      </c>
      <c r="CE34" s="22">
        <f>COUNTIF(Z34:BC34,"產檢")</f>
        <v>0</v>
      </c>
      <c r="CF34" s="22">
        <f>COUNTIF(Z34:BC34,"產*")</f>
        <v>0</v>
      </c>
      <c r="CG34" s="22">
        <f>COUNTIF(Z34:BC34,"公")</f>
        <v>0</v>
      </c>
      <c r="CH34" s="22">
        <f>COUNTIF(Z34:BC34, "")</f>
        <v>29</v>
      </c>
      <c r="CI34" s="34">
        <f>SUM(BV34:CH34)</f>
        <v>29</v>
      </c>
      <c r="CJ34" s="24">
        <f>COUNTIF(AE34:AF34,"")+COUNTIF(AL34:AM34,"")+COUNTIF(AR34:AT34,"")+ COUNTIF(AZ34:BA34,"")+ COUNTIF(AE34:AF34,"例")+COUNTIF(AL34:AM34,"例")+COUNTIF(AR34:AT34,"例")+COUNTIF(AZ34:BA34,"例")+ COUNTIF(AE34:AF34,"息")+COUNTIF(AL34:AM34,"息")+COUNTIF(AR34:AT34,"息")+ COUNTIF(AZ34:BA34,"息")+COUNTIF(AE34:AF34,"特")+COUNTIF(AL34:AM34,"特")+COUNTIF(AR34:AT34,"特")+COUNTIF(AZ34:BA34,"特")+COUNTIF(AE34:AF34,"補*")+COUNTIF(AL34:AM34,"補*")+COUNTIF(AR34:AT34,"補*")+COUNTIF(AZ34:BA34,"補*")+COUNTIF(AE34:AF34,"喪")+COUNTIF(AL34:AM34,"喪")+COUNTIF(AR34:AT34,"喪")+COUNTIF(AZ34:BA34,"喪")</f>
        <v>9</v>
      </c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</row>
    <row r="35" spans="1:156" s="3" customFormat="1" ht="49.5" customHeight="1">
      <c r="A35" s="38"/>
      <c r="B35" s="22">
        <v>1</v>
      </c>
      <c r="C35" s="34" t="s">
        <v>206</v>
      </c>
      <c r="D35" s="20" t="s">
        <v>8</v>
      </c>
      <c r="E35" s="21" t="s">
        <v>8</v>
      </c>
      <c r="F35" s="21" t="s">
        <v>46</v>
      </c>
      <c r="G35" s="21" t="s">
        <v>8</v>
      </c>
      <c r="H35" s="20" t="s">
        <v>8</v>
      </c>
      <c r="I35" s="20" t="s">
        <v>8</v>
      </c>
      <c r="J35" s="20" t="s">
        <v>8</v>
      </c>
      <c r="K35" s="20" t="s">
        <v>8</v>
      </c>
      <c r="L35" s="20" t="s">
        <v>46</v>
      </c>
      <c r="M35" s="20" t="s">
        <v>56</v>
      </c>
      <c r="N35" s="20" t="s">
        <v>8</v>
      </c>
      <c r="O35" s="20" t="s">
        <v>8</v>
      </c>
      <c r="P35" s="20" t="s">
        <v>49</v>
      </c>
      <c r="Q35" s="20" t="s">
        <v>48</v>
      </c>
      <c r="R35" s="20" t="s">
        <v>46</v>
      </c>
      <c r="S35" s="20" t="s">
        <v>48</v>
      </c>
      <c r="T35" s="21" t="s">
        <v>48</v>
      </c>
      <c r="U35" s="20" t="s">
        <v>8</v>
      </c>
      <c r="V35" s="20" t="s">
        <v>8</v>
      </c>
      <c r="W35" s="20" t="s">
        <v>8</v>
      </c>
      <c r="X35" s="20" t="s">
        <v>8</v>
      </c>
      <c r="Y35" s="20" t="s">
        <v>48</v>
      </c>
      <c r="Z35" s="7" t="s">
        <v>53</v>
      </c>
      <c r="AA35" s="7" t="s">
        <v>53</v>
      </c>
      <c r="AB35" s="8"/>
      <c r="AC35" s="8" t="s">
        <v>53</v>
      </c>
      <c r="AD35" s="8" t="s">
        <v>53</v>
      </c>
      <c r="AE35" s="21"/>
      <c r="AF35" s="21"/>
      <c r="AG35" s="8" t="s">
        <v>53</v>
      </c>
      <c r="AH35" s="8" t="s">
        <v>53</v>
      </c>
      <c r="AI35" s="8"/>
      <c r="AJ35" s="8"/>
      <c r="AK35" s="8" t="s">
        <v>53</v>
      </c>
      <c r="AL35" s="21" t="s">
        <v>7</v>
      </c>
      <c r="AM35" s="20" t="s">
        <v>7</v>
      </c>
      <c r="AN35" s="7" t="s">
        <v>7</v>
      </c>
      <c r="AO35" s="8" t="s">
        <v>53</v>
      </c>
      <c r="AP35" s="8"/>
      <c r="AQ35" s="7" t="s">
        <v>53</v>
      </c>
      <c r="AR35" s="20" t="s">
        <v>53</v>
      </c>
      <c r="AS35" s="20" t="s">
        <v>53</v>
      </c>
      <c r="AT35" s="21" t="s">
        <v>53</v>
      </c>
      <c r="AU35" s="8"/>
      <c r="AV35" s="8" t="s">
        <v>53</v>
      </c>
      <c r="AW35" s="7" t="s">
        <v>53</v>
      </c>
      <c r="AX35" s="7" t="s">
        <v>53</v>
      </c>
      <c r="AY35" s="7" t="s">
        <v>53</v>
      </c>
      <c r="AZ35" s="21"/>
      <c r="BA35" s="21"/>
      <c r="BB35" s="8"/>
      <c r="BC35" s="7" t="s">
        <v>53</v>
      </c>
      <c r="BD35" s="34" t="s">
        <v>152</v>
      </c>
      <c r="BE35" s="22">
        <f t="shared" si="28"/>
        <v>0</v>
      </c>
      <c r="BF35" s="30">
        <f t="shared" si="0"/>
        <v>20</v>
      </c>
      <c r="BG35" s="22">
        <f t="shared" si="1"/>
        <v>0</v>
      </c>
      <c r="BH35" s="22">
        <f t="shared" si="2"/>
        <v>20</v>
      </c>
      <c r="BI35" s="22">
        <f t="shared" si="3"/>
        <v>3</v>
      </c>
      <c r="BJ35" s="22">
        <f t="shared" si="4"/>
        <v>4</v>
      </c>
      <c r="BK35" s="22">
        <f t="shared" si="5"/>
        <v>7</v>
      </c>
      <c r="BL35" s="22">
        <f t="shared" si="6"/>
        <v>0</v>
      </c>
      <c r="BM35" s="22">
        <f t="shared" si="7"/>
        <v>0</v>
      </c>
      <c r="BN35" s="22">
        <f t="shared" si="8"/>
        <v>0</v>
      </c>
      <c r="BO35" s="22">
        <f t="shared" si="9"/>
        <v>3</v>
      </c>
      <c r="BP35" s="22">
        <f t="shared" si="9"/>
        <v>4</v>
      </c>
      <c r="BQ35" s="22">
        <f t="shared" si="9"/>
        <v>7</v>
      </c>
      <c r="BR35" s="22">
        <f t="shared" si="10"/>
        <v>0</v>
      </c>
      <c r="BS35" s="22">
        <f t="shared" si="11"/>
        <v>0</v>
      </c>
      <c r="BT35" s="22">
        <f t="shared" si="12"/>
        <v>0</v>
      </c>
      <c r="BU35" s="22">
        <f t="shared" si="13"/>
        <v>0</v>
      </c>
      <c r="BV35" s="22">
        <f t="shared" si="14"/>
        <v>0</v>
      </c>
      <c r="BW35" s="22">
        <f t="shared" si="15"/>
        <v>0</v>
      </c>
      <c r="BX35" s="22">
        <f t="shared" si="16"/>
        <v>0</v>
      </c>
      <c r="BY35" s="22">
        <f t="shared" si="17"/>
        <v>0</v>
      </c>
      <c r="BZ35" s="22">
        <f t="shared" si="18"/>
        <v>0</v>
      </c>
      <c r="CA35" s="22">
        <f t="shared" si="19"/>
        <v>0</v>
      </c>
      <c r="CB35" s="22">
        <f t="shared" si="20"/>
        <v>0</v>
      </c>
      <c r="CC35" s="22">
        <f t="shared" si="21"/>
        <v>0</v>
      </c>
      <c r="CD35" s="22">
        <f t="shared" si="22"/>
        <v>0</v>
      </c>
      <c r="CE35" s="22">
        <f t="shared" si="23"/>
        <v>0</v>
      </c>
      <c r="CF35" s="22">
        <f t="shared" si="24"/>
        <v>0</v>
      </c>
      <c r="CG35" s="22">
        <f t="shared" si="25"/>
        <v>0</v>
      </c>
      <c r="CH35" s="22">
        <f t="shared" si="26"/>
        <v>10</v>
      </c>
      <c r="CI35" s="34">
        <f t="shared" si="27"/>
        <v>10</v>
      </c>
      <c r="CJ35" s="24">
        <f t="shared" si="29"/>
        <v>4</v>
      </c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</row>
    <row r="36" spans="1:156" s="3" customFormat="1" ht="49.5" customHeight="1">
      <c r="A36" s="38"/>
      <c r="B36" s="22">
        <v>2</v>
      </c>
      <c r="C36" s="34" t="s">
        <v>207</v>
      </c>
      <c r="D36" s="20" t="s">
        <v>46</v>
      </c>
      <c r="E36" s="21" t="s">
        <v>8</v>
      </c>
      <c r="F36" s="20" t="s">
        <v>8</v>
      </c>
      <c r="G36" s="21" t="s">
        <v>8</v>
      </c>
      <c r="H36" s="21" t="s">
        <v>56</v>
      </c>
      <c r="I36" s="20" t="s">
        <v>48</v>
      </c>
      <c r="J36" s="20" t="s">
        <v>8</v>
      </c>
      <c r="K36" s="20" t="s">
        <v>8</v>
      </c>
      <c r="L36" s="21" t="s">
        <v>8</v>
      </c>
      <c r="M36" s="21" t="s">
        <v>46</v>
      </c>
      <c r="N36" s="21" t="s">
        <v>8</v>
      </c>
      <c r="O36" s="21" t="s">
        <v>8</v>
      </c>
      <c r="P36" s="20" t="s">
        <v>48</v>
      </c>
      <c r="Q36" s="20" t="s">
        <v>8</v>
      </c>
      <c r="R36" s="20" t="s">
        <v>8</v>
      </c>
      <c r="S36" s="20" t="s">
        <v>8</v>
      </c>
      <c r="T36" s="20" t="s">
        <v>8</v>
      </c>
      <c r="U36" s="21" t="s">
        <v>46</v>
      </c>
      <c r="V36" s="21" t="s">
        <v>48</v>
      </c>
      <c r="W36" s="20" t="s">
        <v>8</v>
      </c>
      <c r="X36" s="20" t="s">
        <v>8</v>
      </c>
      <c r="Y36" s="20" t="s">
        <v>46</v>
      </c>
      <c r="Z36" s="17" t="s">
        <v>55</v>
      </c>
      <c r="AA36" s="17" t="s">
        <v>55</v>
      </c>
      <c r="AB36" s="7"/>
      <c r="AC36" s="17" t="s">
        <v>55</v>
      </c>
      <c r="AD36" s="17" t="s">
        <v>55</v>
      </c>
      <c r="AE36" s="21" t="s">
        <v>55</v>
      </c>
      <c r="AF36" s="21" t="s">
        <v>55</v>
      </c>
      <c r="AG36" s="7"/>
      <c r="AH36" s="17" t="s">
        <v>55</v>
      </c>
      <c r="AI36" s="17" t="s">
        <v>55</v>
      </c>
      <c r="AJ36" s="17" t="s">
        <v>55</v>
      </c>
      <c r="AK36" s="17" t="s">
        <v>55</v>
      </c>
      <c r="AL36" s="21"/>
      <c r="AM36" s="21"/>
      <c r="AN36" s="10"/>
      <c r="AO36" s="9"/>
      <c r="AP36" s="9"/>
      <c r="AQ36" s="9"/>
      <c r="AR36" s="21" t="s">
        <v>55</v>
      </c>
      <c r="AS36" s="20" t="s">
        <v>55</v>
      </c>
      <c r="AT36" s="21" t="s">
        <v>55</v>
      </c>
      <c r="AU36" s="8" t="s">
        <v>55</v>
      </c>
      <c r="AV36" s="8"/>
      <c r="AW36" s="8"/>
      <c r="AX36" s="8" t="s">
        <v>55</v>
      </c>
      <c r="AY36" s="8" t="s">
        <v>55</v>
      </c>
      <c r="AZ36" s="21" t="s">
        <v>55</v>
      </c>
      <c r="BA36" s="21"/>
      <c r="BB36" s="7" t="s">
        <v>8</v>
      </c>
      <c r="BC36" s="7" t="s">
        <v>8</v>
      </c>
      <c r="BD36" s="34" t="s">
        <v>154</v>
      </c>
      <c r="BE36" s="22">
        <f t="shared" si="28"/>
        <v>0</v>
      </c>
      <c r="BF36" s="22">
        <f t="shared" si="0"/>
        <v>0</v>
      </c>
      <c r="BG36" s="31">
        <f t="shared" si="1"/>
        <v>19</v>
      </c>
      <c r="BH36" s="22">
        <f t="shared" si="2"/>
        <v>19</v>
      </c>
      <c r="BI36" s="22">
        <f t="shared" si="3"/>
        <v>4</v>
      </c>
      <c r="BJ36" s="22">
        <f t="shared" si="4"/>
        <v>3</v>
      </c>
      <c r="BK36" s="22">
        <f t="shared" si="5"/>
        <v>7</v>
      </c>
      <c r="BL36" s="22">
        <f t="shared" si="6"/>
        <v>0</v>
      </c>
      <c r="BM36" s="22">
        <f t="shared" si="7"/>
        <v>0</v>
      </c>
      <c r="BN36" s="22">
        <f t="shared" si="8"/>
        <v>0</v>
      </c>
      <c r="BO36" s="22">
        <f t="shared" si="9"/>
        <v>4</v>
      </c>
      <c r="BP36" s="22">
        <f t="shared" si="9"/>
        <v>3</v>
      </c>
      <c r="BQ36" s="22">
        <f t="shared" si="9"/>
        <v>7</v>
      </c>
      <c r="BR36" s="22">
        <f t="shared" si="10"/>
        <v>0</v>
      </c>
      <c r="BS36" s="22">
        <f t="shared" si="11"/>
        <v>0</v>
      </c>
      <c r="BT36" s="22">
        <f t="shared" si="12"/>
        <v>0</v>
      </c>
      <c r="BU36" s="22">
        <f t="shared" si="13"/>
        <v>0</v>
      </c>
      <c r="BV36" s="22">
        <f t="shared" si="14"/>
        <v>0</v>
      </c>
      <c r="BW36" s="22">
        <f t="shared" si="15"/>
        <v>0</v>
      </c>
      <c r="BX36" s="22">
        <f t="shared" si="16"/>
        <v>0</v>
      </c>
      <c r="BY36" s="22">
        <f t="shared" si="17"/>
        <v>0</v>
      </c>
      <c r="BZ36" s="22">
        <f t="shared" si="18"/>
        <v>0</v>
      </c>
      <c r="CA36" s="22">
        <f t="shared" si="19"/>
        <v>0</v>
      </c>
      <c r="CB36" s="22">
        <f t="shared" si="20"/>
        <v>0</v>
      </c>
      <c r="CC36" s="22">
        <f t="shared" si="21"/>
        <v>0</v>
      </c>
      <c r="CD36" s="22">
        <f t="shared" si="22"/>
        <v>0</v>
      </c>
      <c r="CE36" s="22">
        <f t="shared" si="23"/>
        <v>0</v>
      </c>
      <c r="CF36" s="22">
        <f t="shared" si="24"/>
        <v>0</v>
      </c>
      <c r="CG36" s="22">
        <f t="shared" si="25"/>
        <v>0</v>
      </c>
      <c r="CH36" s="22">
        <f t="shared" si="26"/>
        <v>11</v>
      </c>
      <c r="CI36" s="34">
        <f t="shared" si="27"/>
        <v>11</v>
      </c>
      <c r="CJ36" s="24">
        <f t="shared" si="29"/>
        <v>3</v>
      </c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</row>
    <row r="37" spans="1:156" s="3" customFormat="1" ht="49.5" customHeight="1">
      <c r="A37" s="38"/>
      <c r="B37" s="22">
        <v>3</v>
      </c>
      <c r="C37" s="34" t="s">
        <v>153</v>
      </c>
      <c r="D37" s="20" t="s">
        <v>46</v>
      </c>
      <c r="E37" s="20" t="s">
        <v>48</v>
      </c>
      <c r="F37" s="20" t="s">
        <v>56</v>
      </c>
      <c r="G37" s="21" t="s">
        <v>58</v>
      </c>
      <c r="H37" s="20" t="s">
        <v>58</v>
      </c>
      <c r="I37" s="20" t="s">
        <v>58</v>
      </c>
      <c r="J37" s="20" t="s">
        <v>8</v>
      </c>
      <c r="K37" s="20" t="s">
        <v>46</v>
      </c>
      <c r="L37" s="21" t="s">
        <v>8</v>
      </c>
      <c r="M37" s="20" t="s">
        <v>8</v>
      </c>
      <c r="N37" s="20" t="s">
        <v>8</v>
      </c>
      <c r="O37" s="20" t="s">
        <v>48</v>
      </c>
      <c r="P37" s="20" t="s">
        <v>8</v>
      </c>
      <c r="Q37" s="21" t="s">
        <v>8</v>
      </c>
      <c r="R37" s="21" t="s">
        <v>46</v>
      </c>
      <c r="S37" s="20" t="s">
        <v>48</v>
      </c>
      <c r="T37" s="20" t="s">
        <v>8</v>
      </c>
      <c r="U37" s="20" t="s">
        <v>8</v>
      </c>
      <c r="V37" s="20" t="s">
        <v>8</v>
      </c>
      <c r="W37" s="20" t="s">
        <v>49</v>
      </c>
      <c r="X37" s="21" t="s">
        <v>48</v>
      </c>
      <c r="Y37" s="21" t="s">
        <v>8</v>
      </c>
      <c r="Z37" s="59" t="s">
        <v>55</v>
      </c>
      <c r="AA37" s="59" t="s">
        <v>55</v>
      </c>
      <c r="AB37" s="59"/>
      <c r="AC37" s="59"/>
      <c r="AD37" s="59" t="s">
        <v>53</v>
      </c>
      <c r="AE37" s="60" t="s">
        <v>53</v>
      </c>
      <c r="AF37" s="60" t="s">
        <v>53</v>
      </c>
      <c r="AG37" s="59" t="s">
        <v>53</v>
      </c>
      <c r="AH37" s="59"/>
      <c r="AI37" s="59" t="s">
        <v>53</v>
      </c>
      <c r="AJ37" s="59" t="s">
        <v>53</v>
      </c>
      <c r="AK37" s="59" t="s">
        <v>53</v>
      </c>
      <c r="AL37" s="21"/>
      <c r="AM37" s="21"/>
      <c r="AN37" s="59" t="s">
        <v>53</v>
      </c>
      <c r="AO37" s="59" t="s">
        <v>53</v>
      </c>
      <c r="AP37" s="59" t="s">
        <v>53</v>
      </c>
      <c r="AQ37" s="8"/>
      <c r="AR37" s="21" t="s">
        <v>53</v>
      </c>
      <c r="AS37" s="21" t="s">
        <v>7</v>
      </c>
      <c r="AT37" s="21" t="s">
        <v>7</v>
      </c>
      <c r="AU37" s="8" t="s">
        <v>53</v>
      </c>
      <c r="AV37" s="8" t="s">
        <v>53</v>
      </c>
      <c r="AW37" s="8"/>
      <c r="AX37" s="7" t="s">
        <v>53</v>
      </c>
      <c r="AY37" s="7" t="s">
        <v>53</v>
      </c>
      <c r="AZ37" s="20" t="s">
        <v>53</v>
      </c>
      <c r="BA37" s="21"/>
      <c r="BB37" s="9"/>
      <c r="BC37" s="9"/>
      <c r="BD37" s="34" t="s">
        <v>70</v>
      </c>
      <c r="BE37" s="22">
        <f>COUNTIF(Z37:BC37,"D*")</f>
        <v>0</v>
      </c>
      <c r="BF37" s="30">
        <f>COUNTIF(Z37:BC37,"E*")</f>
        <v>18</v>
      </c>
      <c r="BG37" s="22">
        <f>COUNTIF(Z37:BC37,"N*")</f>
        <v>2</v>
      </c>
      <c r="BH37" s="22">
        <f>SUM(BE37:BG37)</f>
        <v>20</v>
      </c>
      <c r="BI37" s="22">
        <f>COUNTIF(D37:Y37, "例")</f>
        <v>3</v>
      </c>
      <c r="BJ37" s="22">
        <f>COUNTIF(D37:Y37, "*息*")</f>
        <v>4</v>
      </c>
      <c r="BK37" s="22">
        <f>BI37+BJ37</f>
        <v>7</v>
      </c>
      <c r="BL37" s="22">
        <f>COUNTIF(Z37:AE37, "例")</f>
        <v>0</v>
      </c>
      <c r="BM37" s="22">
        <f>COUNTIF(Z37:AE37,"*息*")</f>
        <v>0</v>
      </c>
      <c r="BN37" s="22">
        <f>BL37+BM37</f>
        <v>0</v>
      </c>
      <c r="BO37" s="22">
        <f>BI37+BL37</f>
        <v>3</v>
      </c>
      <c r="BP37" s="22">
        <f>BJ37+BM37</f>
        <v>4</v>
      </c>
      <c r="BQ37" s="22">
        <f>BK37+BN37</f>
        <v>7</v>
      </c>
      <c r="BR37" s="22">
        <f>COUNTIF(AF37:BC37,"例")</f>
        <v>0</v>
      </c>
      <c r="BS37" s="22">
        <f>COUNTIF(AF37:BC37,"*息*")</f>
        <v>0</v>
      </c>
      <c r="BT37" s="22">
        <f>SUM(BR37+BS37)</f>
        <v>0</v>
      </c>
      <c r="BU37" s="22">
        <f>COUNTIF(Z37:BC37,"*國*")</f>
        <v>0</v>
      </c>
      <c r="BV37" s="22">
        <f>COUNTIF(Z37:BC37,"例")</f>
        <v>0</v>
      </c>
      <c r="BW37" s="22">
        <f>COUNTIF(Z37:BC37,"息")</f>
        <v>0</v>
      </c>
      <c r="BX37" s="22">
        <f>COUNTIF(Z37:BC37,"國")</f>
        <v>0</v>
      </c>
      <c r="BY37" s="22">
        <f>COUNTIF(Z37:BC37,"補*")</f>
        <v>0</v>
      </c>
      <c r="BZ37" s="22">
        <f>COUNTIF(Z37:BC37,"特*")</f>
        <v>0</v>
      </c>
      <c r="CA37" s="22">
        <f>COUNTIF(Z37:BC37,"喪*")</f>
        <v>0</v>
      </c>
      <c r="CB37" s="22">
        <f>COUNTIF(Z37:BC37,"病")</f>
        <v>0</v>
      </c>
      <c r="CC37" s="22">
        <f>COUNTIF(Z37:BC37,"空")</f>
        <v>0</v>
      </c>
      <c r="CD37" s="22">
        <f>COUNTIF(Z37:BC37,"婚*")</f>
        <v>0</v>
      </c>
      <c r="CE37" s="22">
        <f>COUNTIF(Z37:BC37,"產檢")</f>
        <v>0</v>
      </c>
      <c r="CF37" s="22">
        <f>COUNTIF(Z37:BC37,"產*")</f>
        <v>0</v>
      </c>
      <c r="CG37" s="22">
        <f>COUNTIF(Z37:BC37,"公")</f>
        <v>0</v>
      </c>
      <c r="CH37" s="22">
        <f>COUNTIF(Z37:BC37, "")</f>
        <v>10</v>
      </c>
      <c r="CI37" s="34">
        <f>SUM(BV37:CH37)</f>
        <v>10</v>
      </c>
      <c r="CJ37" s="24">
        <f>COUNTIF(AE37:AF37,"")+COUNTIF(AL37:AM37,"")+COUNTIF(AR37:AT37,"")+ COUNTIF(AZ37:BA37,"")+ COUNTIF(AE37:AF37,"例")+COUNTIF(AL37:AM37,"例")+COUNTIF(AR37:AT37,"例")+COUNTIF(AZ37:BA37,"例")+ COUNTIF(AE37:AF37,"息")+COUNTIF(AL37:AM37,"息")+COUNTIF(AR37:AT37,"息")+ COUNTIF(AZ37:BA37,"息")+COUNTIF(AE37:AF37,"特")+COUNTIF(AL37:AM37,"特")+COUNTIF(AR37:AT37,"特")+COUNTIF(AZ37:BA37,"特")+COUNTIF(AE37:AF37,"補*")+COUNTIF(AL37:AM37,"補*")+COUNTIF(AR37:AT37,"補*")+COUNTIF(AZ37:BA37,"補*")+COUNTIF(AE37:AF37,"喪")+COUNTIF(AL37:AM37,"喪")+COUNTIF(AR37:AT37,"喪")+COUNTIF(AZ37:BA37,"喪")</f>
        <v>3</v>
      </c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</row>
    <row r="38" spans="1:156" s="3" customFormat="1" ht="49.5" customHeight="1">
      <c r="A38" s="38"/>
      <c r="B38" s="22">
        <v>4</v>
      </c>
      <c r="C38" s="34" t="s">
        <v>154</v>
      </c>
      <c r="D38" s="20" t="s">
        <v>46</v>
      </c>
      <c r="E38" s="21" t="s">
        <v>48</v>
      </c>
      <c r="F38" s="20" t="s">
        <v>7</v>
      </c>
      <c r="G38" s="21" t="s">
        <v>7</v>
      </c>
      <c r="H38" s="21" t="s">
        <v>7</v>
      </c>
      <c r="I38" s="20" t="s">
        <v>7</v>
      </c>
      <c r="J38" s="20" t="s">
        <v>48</v>
      </c>
      <c r="K38" s="20" t="s">
        <v>7</v>
      </c>
      <c r="L38" s="21" t="s">
        <v>64</v>
      </c>
      <c r="M38" s="21" t="s">
        <v>7</v>
      </c>
      <c r="N38" s="21" t="s">
        <v>46</v>
      </c>
      <c r="O38" s="21" t="s">
        <v>7</v>
      </c>
      <c r="P38" s="20" t="s">
        <v>7</v>
      </c>
      <c r="Q38" s="20" t="s">
        <v>48</v>
      </c>
      <c r="R38" s="20" t="s">
        <v>7</v>
      </c>
      <c r="S38" s="20" t="s">
        <v>7</v>
      </c>
      <c r="T38" s="20" t="s">
        <v>54</v>
      </c>
      <c r="U38" s="21" t="s">
        <v>46</v>
      </c>
      <c r="V38" s="21" t="s">
        <v>7</v>
      </c>
      <c r="W38" s="20" t="s">
        <v>7</v>
      </c>
      <c r="X38" s="20" t="s">
        <v>7</v>
      </c>
      <c r="Y38" s="20" t="s">
        <v>7</v>
      </c>
      <c r="Z38" s="8" t="s">
        <v>53</v>
      </c>
      <c r="AA38" s="8"/>
      <c r="AB38" s="8" t="s">
        <v>53</v>
      </c>
      <c r="AC38" s="8" t="s">
        <v>53</v>
      </c>
      <c r="AD38" s="8" t="s">
        <v>53</v>
      </c>
      <c r="AE38" s="20" t="s">
        <v>53</v>
      </c>
      <c r="AF38" s="21"/>
      <c r="AG38" s="8" t="s">
        <v>53</v>
      </c>
      <c r="AH38" s="7" t="s">
        <v>53</v>
      </c>
      <c r="AI38" s="7" t="s">
        <v>53</v>
      </c>
      <c r="AJ38" s="9"/>
      <c r="AK38" s="9"/>
      <c r="AL38" s="21"/>
      <c r="AM38" s="21"/>
      <c r="AN38" s="8" t="s">
        <v>53</v>
      </c>
      <c r="AO38" s="8" t="s">
        <v>53</v>
      </c>
      <c r="AP38" s="7" t="s">
        <v>53</v>
      </c>
      <c r="AQ38" s="7" t="s">
        <v>53</v>
      </c>
      <c r="AR38" s="21"/>
      <c r="AS38" s="20" t="s">
        <v>53</v>
      </c>
      <c r="AT38" s="20" t="s">
        <v>53</v>
      </c>
      <c r="AU38" s="7" t="s">
        <v>53</v>
      </c>
      <c r="AV38" s="7" t="s">
        <v>53</v>
      </c>
      <c r="AW38" s="8"/>
      <c r="AX38" s="8"/>
      <c r="AY38" s="8" t="s">
        <v>53</v>
      </c>
      <c r="AZ38" s="21" t="s">
        <v>53</v>
      </c>
      <c r="BA38" s="21" t="s">
        <v>53</v>
      </c>
      <c r="BB38" s="8" t="s">
        <v>53</v>
      </c>
      <c r="BC38" s="8"/>
      <c r="BD38" s="35" t="s">
        <v>155</v>
      </c>
      <c r="BE38" s="22">
        <f t="shared" si="28"/>
        <v>0</v>
      </c>
      <c r="BF38" s="30">
        <f t="shared" si="0"/>
        <v>20</v>
      </c>
      <c r="BG38" s="22">
        <f t="shared" si="1"/>
        <v>0</v>
      </c>
      <c r="BH38" s="22">
        <f t="shared" si="2"/>
        <v>20</v>
      </c>
      <c r="BI38" s="22">
        <f t="shared" si="3"/>
        <v>3</v>
      </c>
      <c r="BJ38" s="22">
        <f t="shared" si="4"/>
        <v>4</v>
      </c>
      <c r="BK38" s="22">
        <f t="shared" si="5"/>
        <v>7</v>
      </c>
      <c r="BL38" s="22">
        <f t="shared" si="6"/>
        <v>0</v>
      </c>
      <c r="BM38" s="22">
        <f t="shared" si="7"/>
        <v>0</v>
      </c>
      <c r="BN38" s="22">
        <f t="shared" si="8"/>
        <v>0</v>
      </c>
      <c r="BO38" s="22">
        <f t="shared" si="9"/>
        <v>3</v>
      </c>
      <c r="BP38" s="22">
        <f t="shared" si="9"/>
        <v>4</v>
      </c>
      <c r="BQ38" s="22">
        <f t="shared" si="9"/>
        <v>7</v>
      </c>
      <c r="BR38" s="22">
        <f t="shared" si="10"/>
        <v>0</v>
      </c>
      <c r="BS38" s="22">
        <f t="shared" si="11"/>
        <v>0</v>
      </c>
      <c r="BT38" s="22">
        <f t="shared" si="12"/>
        <v>0</v>
      </c>
      <c r="BU38" s="22">
        <f t="shared" si="13"/>
        <v>0</v>
      </c>
      <c r="BV38" s="22">
        <f t="shared" si="14"/>
        <v>0</v>
      </c>
      <c r="BW38" s="22">
        <f t="shared" si="15"/>
        <v>0</v>
      </c>
      <c r="BX38" s="22">
        <f t="shared" si="16"/>
        <v>0</v>
      </c>
      <c r="BY38" s="22">
        <f t="shared" si="17"/>
        <v>0</v>
      </c>
      <c r="BZ38" s="22">
        <f t="shared" si="18"/>
        <v>0</v>
      </c>
      <c r="CA38" s="22">
        <f t="shared" si="19"/>
        <v>0</v>
      </c>
      <c r="CB38" s="22">
        <f t="shared" si="20"/>
        <v>0</v>
      </c>
      <c r="CC38" s="22">
        <f t="shared" si="21"/>
        <v>0</v>
      </c>
      <c r="CD38" s="22">
        <f t="shared" si="22"/>
        <v>0</v>
      </c>
      <c r="CE38" s="22">
        <f t="shared" si="23"/>
        <v>0</v>
      </c>
      <c r="CF38" s="22">
        <f t="shared" si="24"/>
        <v>0</v>
      </c>
      <c r="CG38" s="22">
        <f t="shared" si="25"/>
        <v>0</v>
      </c>
      <c r="CH38" s="22">
        <f t="shared" si="26"/>
        <v>10</v>
      </c>
      <c r="CI38" s="34">
        <f t="shared" si="27"/>
        <v>10</v>
      </c>
      <c r="CJ38" s="24">
        <f t="shared" si="29"/>
        <v>4</v>
      </c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</row>
    <row r="39" spans="1:156" s="3" customFormat="1" ht="49.5" customHeight="1">
      <c r="A39" s="38"/>
      <c r="B39" s="22">
        <v>5</v>
      </c>
      <c r="C39" s="34" t="s">
        <v>155</v>
      </c>
      <c r="D39" s="20" t="s">
        <v>8</v>
      </c>
      <c r="E39" s="20" t="s">
        <v>46</v>
      </c>
      <c r="F39" s="20" t="s">
        <v>56</v>
      </c>
      <c r="G39" s="21" t="s">
        <v>48</v>
      </c>
      <c r="H39" s="21" t="s">
        <v>48</v>
      </c>
      <c r="I39" s="20" t="s">
        <v>48</v>
      </c>
      <c r="J39" s="20" t="s">
        <v>8</v>
      </c>
      <c r="K39" s="20" t="s">
        <v>8</v>
      </c>
      <c r="L39" s="21" t="s">
        <v>48</v>
      </c>
      <c r="M39" s="21" t="s">
        <v>8</v>
      </c>
      <c r="N39" s="21" t="s">
        <v>8</v>
      </c>
      <c r="O39" s="21" t="s">
        <v>46</v>
      </c>
      <c r="P39" s="20" t="s">
        <v>8</v>
      </c>
      <c r="Q39" s="20" t="s">
        <v>8</v>
      </c>
      <c r="R39" s="20" t="s">
        <v>8</v>
      </c>
      <c r="S39" s="20" t="s">
        <v>8</v>
      </c>
      <c r="T39" s="20" t="s">
        <v>46</v>
      </c>
      <c r="U39" s="21" t="s">
        <v>8</v>
      </c>
      <c r="V39" s="21" t="s">
        <v>8</v>
      </c>
      <c r="W39" s="20" t="s">
        <v>8</v>
      </c>
      <c r="X39" s="20" t="s">
        <v>8</v>
      </c>
      <c r="Y39" s="20" t="s">
        <v>8</v>
      </c>
      <c r="Z39" s="8"/>
      <c r="AA39" s="8" t="s">
        <v>55</v>
      </c>
      <c r="AB39" s="8" t="s">
        <v>55</v>
      </c>
      <c r="AC39" s="8" t="s">
        <v>55</v>
      </c>
      <c r="AD39" s="8"/>
      <c r="AE39" s="21" t="s">
        <v>55</v>
      </c>
      <c r="AF39" s="21" t="s">
        <v>55</v>
      </c>
      <c r="AG39" s="8" t="s">
        <v>55</v>
      </c>
      <c r="AH39" s="8" t="s">
        <v>55</v>
      </c>
      <c r="AI39" s="8"/>
      <c r="AJ39" s="8" t="s">
        <v>55</v>
      </c>
      <c r="AK39" s="8" t="s">
        <v>55</v>
      </c>
      <c r="AL39" s="21" t="s">
        <v>55</v>
      </c>
      <c r="AM39" s="21" t="s">
        <v>55</v>
      </c>
      <c r="AN39" s="8"/>
      <c r="AO39" s="8" t="s">
        <v>55</v>
      </c>
      <c r="AP39" s="7" t="s">
        <v>55</v>
      </c>
      <c r="AQ39" s="8"/>
      <c r="AR39" s="21" t="s">
        <v>55</v>
      </c>
      <c r="AS39" s="20" t="s">
        <v>55</v>
      </c>
      <c r="AT39" s="21" t="s">
        <v>55</v>
      </c>
      <c r="AU39" s="8"/>
      <c r="AV39" s="8" t="s">
        <v>55</v>
      </c>
      <c r="AW39" s="8" t="s">
        <v>55</v>
      </c>
      <c r="AX39" s="9"/>
      <c r="AY39" s="9"/>
      <c r="AZ39" s="21"/>
      <c r="BA39" s="21"/>
      <c r="BB39" s="7" t="s">
        <v>55</v>
      </c>
      <c r="BC39" s="7" t="s">
        <v>55</v>
      </c>
      <c r="BD39" s="35" t="s">
        <v>156</v>
      </c>
      <c r="BE39" s="22">
        <f t="shared" si="28"/>
        <v>0</v>
      </c>
      <c r="BF39" s="22">
        <f t="shared" si="0"/>
        <v>0</v>
      </c>
      <c r="BG39" s="31">
        <f t="shared" si="1"/>
        <v>20</v>
      </c>
      <c r="BH39" s="22">
        <f t="shared" si="2"/>
        <v>20</v>
      </c>
      <c r="BI39" s="22">
        <f t="shared" si="3"/>
        <v>3</v>
      </c>
      <c r="BJ39" s="22">
        <f t="shared" si="4"/>
        <v>4</v>
      </c>
      <c r="BK39" s="22">
        <f t="shared" si="5"/>
        <v>7</v>
      </c>
      <c r="BL39" s="22">
        <f t="shared" si="6"/>
        <v>0</v>
      </c>
      <c r="BM39" s="22">
        <f t="shared" si="7"/>
        <v>0</v>
      </c>
      <c r="BN39" s="22">
        <f t="shared" si="8"/>
        <v>0</v>
      </c>
      <c r="BO39" s="22">
        <f t="shared" si="9"/>
        <v>3</v>
      </c>
      <c r="BP39" s="22">
        <f t="shared" si="9"/>
        <v>4</v>
      </c>
      <c r="BQ39" s="22">
        <f t="shared" si="9"/>
        <v>7</v>
      </c>
      <c r="BR39" s="22">
        <f t="shared" si="10"/>
        <v>0</v>
      </c>
      <c r="BS39" s="22">
        <f t="shared" si="11"/>
        <v>0</v>
      </c>
      <c r="BT39" s="22">
        <f t="shared" si="12"/>
        <v>0</v>
      </c>
      <c r="BU39" s="22">
        <f t="shared" si="13"/>
        <v>0</v>
      </c>
      <c r="BV39" s="22">
        <f t="shared" si="14"/>
        <v>0</v>
      </c>
      <c r="BW39" s="22">
        <f t="shared" si="15"/>
        <v>0</v>
      </c>
      <c r="BX39" s="22">
        <f t="shared" si="16"/>
        <v>0</v>
      </c>
      <c r="BY39" s="22">
        <f t="shared" si="17"/>
        <v>0</v>
      </c>
      <c r="BZ39" s="22">
        <f t="shared" si="18"/>
        <v>0</v>
      </c>
      <c r="CA39" s="22">
        <f t="shared" si="19"/>
        <v>0</v>
      </c>
      <c r="CB39" s="22">
        <f t="shared" si="20"/>
        <v>0</v>
      </c>
      <c r="CC39" s="22">
        <f t="shared" si="21"/>
        <v>0</v>
      </c>
      <c r="CD39" s="22">
        <f t="shared" si="22"/>
        <v>0</v>
      </c>
      <c r="CE39" s="22">
        <f t="shared" si="23"/>
        <v>0</v>
      </c>
      <c r="CF39" s="22">
        <f t="shared" si="24"/>
        <v>0</v>
      </c>
      <c r="CG39" s="22">
        <f t="shared" si="25"/>
        <v>0</v>
      </c>
      <c r="CH39" s="22">
        <f t="shared" si="26"/>
        <v>10</v>
      </c>
      <c r="CI39" s="34">
        <f t="shared" si="27"/>
        <v>10</v>
      </c>
      <c r="CJ39" s="24">
        <f t="shared" si="29"/>
        <v>2</v>
      </c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</row>
    <row r="40" spans="1:156" s="3" customFormat="1" ht="49.5" customHeight="1">
      <c r="A40" s="38"/>
      <c r="B40" s="22">
        <v>6</v>
      </c>
      <c r="C40" s="34" t="s">
        <v>156</v>
      </c>
      <c r="D40" s="21" t="s">
        <v>8</v>
      </c>
      <c r="E40" s="21" t="s">
        <v>8</v>
      </c>
      <c r="F40" s="20" t="s">
        <v>8</v>
      </c>
      <c r="G40" s="20" t="s">
        <v>46</v>
      </c>
      <c r="H40" s="20" t="s">
        <v>8</v>
      </c>
      <c r="I40" s="20" t="s">
        <v>66</v>
      </c>
      <c r="J40" s="20" t="s">
        <v>48</v>
      </c>
      <c r="K40" s="21" t="s">
        <v>46</v>
      </c>
      <c r="L40" s="21" t="s">
        <v>63</v>
      </c>
      <c r="M40" s="20" t="s">
        <v>51</v>
      </c>
      <c r="N40" s="20" t="s">
        <v>51</v>
      </c>
      <c r="O40" s="21" t="s">
        <v>51</v>
      </c>
      <c r="P40" s="21" t="s">
        <v>48</v>
      </c>
      <c r="Q40" s="20" t="s">
        <v>48</v>
      </c>
      <c r="R40" s="20" t="s">
        <v>51</v>
      </c>
      <c r="S40" s="20" t="s">
        <v>51</v>
      </c>
      <c r="T40" s="21" t="s">
        <v>51</v>
      </c>
      <c r="U40" s="20" t="s">
        <v>51</v>
      </c>
      <c r="V40" s="21" t="s">
        <v>46</v>
      </c>
      <c r="W40" s="21" t="s">
        <v>51</v>
      </c>
      <c r="X40" s="20" t="s">
        <v>51</v>
      </c>
      <c r="Y40" s="20" t="s">
        <v>51</v>
      </c>
      <c r="Z40" s="8" t="s">
        <v>50</v>
      </c>
      <c r="AA40" s="9"/>
      <c r="AB40" s="8" t="s">
        <v>7</v>
      </c>
      <c r="AC40" s="8" t="s">
        <v>7</v>
      </c>
      <c r="AD40" s="8"/>
      <c r="AE40" s="21" t="s">
        <v>7</v>
      </c>
      <c r="AF40" s="21" t="s">
        <v>7</v>
      </c>
      <c r="AG40" s="8" t="s">
        <v>53</v>
      </c>
      <c r="AH40" s="8"/>
      <c r="AI40" s="8" t="s">
        <v>7</v>
      </c>
      <c r="AJ40" s="8" t="s">
        <v>7</v>
      </c>
      <c r="AK40" s="8" t="s">
        <v>7</v>
      </c>
      <c r="AL40" s="21" t="s">
        <v>7</v>
      </c>
      <c r="AM40" s="21"/>
      <c r="AN40" s="8"/>
      <c r="AO40" s="8" t="s">
        <v>50</v>
      </c>
      <c r="AP40" s="8" t="s">
        <v>50</v>
      </c>
      <c r="AQ40" s="8" t="s">
        <v>51</v>
      </c>
      <c r="AR40" s="21" t="s">
        <v>51</v>
      </c>
      <c r="AS40" s="21"/>
      <c r="AT40" s="21"/>
      <c r="AU40" s="9"/>
      <c r="AV40" s="9"/>
      <c r="AW40" s="8" t="s">
        <v>51</v>
      </c>
      <c r="AX40" s="8" t="s">
        <v>51</v>
      </c>
      <c r="AY40" s="8" t="s">
        <v>51</v>
      </c>
      <c r="AZ40" s="21"/>
      <c r="BA40" s="21" t="s">
        <v>51</v>
      </c>
      <c r="BB40" s="8" t="s">
        <v>51</v>
      </c>
      <c r="BC40" s="8" t="s">
        <v>51</v>
      </c>
      <c r="BD40" s="34" t="s">
        <v>161</v>
      </c>
      <c r="BE40" s="22">
        <f>COUNTIF(Z40:BC40,"D*")</f>
        <v>11</v>
      </c>
      <c r="BF40" s="22">
        <f>COUNTIF(Z40:BC40,"E*")</f>
        <v>9</v>
      </c>
      <c r="BG40" s="22">
        <f>COUNTIF(Z40:BC40,"N*")</f>
        <v>0</v>
      </c>
      <c r="BH40" s="22">
        <f>SUM(BE40:BG40)</f>
        <v>20</v>
      </c>
      <c r="BI40" s="22">
        <f>COUNTIF(D40:Y40, "例")</f>
        <v>3</v>
      </c>
      <c r="BJ40" s="22">
        <f>COUNTIF(D40:Y40, "*息*")</f>
        <v>4</v>
      </c>
      <c r="BK40" s="22">
        <f>BI40+BJ40</f>
        <v>7</v>
      </c>
      <c r="BL40" s="22">
        <f>COUNTIF(Z40:AE40, "例")</f>
        <v>0</v>
      </c>
      <c r="BM40" s="22">
        <f>COUNTIF(Z40:AE40,"*息*")</f>
        <v>0</v>
      </c>
      <c r="BN40" s="22">
        <f>BL40+BM40</f>
        <v>0</v>
      </c>
      <c r="BO40" s="22">
        <f>BI40+BL40</f>
        <v>3</v>
      </c>
      <c r="BP40" s="22">
        <f>BJ40+BM40</f>
        <v>4</v>
      </c>
      <c r="BQ40" s="22">
        <f>BK40+BN40</f>
        <v>7</v>
      </c>
      <c r="BR40" s="22">
        <f>COUNTIF(AF40:BC40,"例")</f>
        <v>0</v>
      </c>
      <c r="BS40" s="22">
        <f>COUNTIF(AF40:BC40,"*息*")</f>
        <v>0</v>
      </c>
      <c r="BT40" s="22">
        <f>SUM(BR40+BS40)</f>
        <v>0</v>
      </c>
      <c r="BU40" s="22">
        <f>COUNTIF(Z40:BC40,"*國*")</f>
        <v>0</v>
      </c>
      <c r="BV40" s="22">
        <f>COUNTIF(Z40:BC40,"例")</f>
        <v>0</v>
      </c>
      <c r="BW40" s="22">
        <f>COUNTIF(Z40:BC40,"息")</f>
        <v>0</v>
      </c>
      <c r="BX40" s="22">
        <f>COUNTIF(Z40:BC40,"國")</f>
        <v>0</v>
      </c>
      <c r="BY40" s="22">
        <f>COUNTIF(Z40:BC40,"補*")</f>
        <v>0</v>
      </c>
      <c r="BZ40" s="22">
        <f>COUNTIF(Z40:BC40,"特*")</f>
        <v>0</v>
      </c>
      <c r="CA40" s="22">
        <f>COUNTIF(Z40:BC40,"喪*")</f>
        <v>0</v>
      </c>
      <c r="CB40" s="22">
        <f>COUNTIF(Z40:BC40,"病")</f>
        <v>0</v>
      </c>
      <c r="CC40" s="22">
        <f>COUNTIF(Z40:BC40,"空")</f>
        <v>0</v>
      </c>
      <c r="CD40" s="22">
        <f>COUNTIF(Z40:BC40,"婚*")</f>
        <v>0</v>
      </c>
      <c r="CE40" s="22">
        <f>COUNTIF(Z40:BC40,"產檢")</f>
        <v>0</v>
      </c>
      <c r="CF40" s="22">
        <f>COUNTIF(Z40:BC40,"產*")</f>
        <v>0</v>
      </c>
      <c r="CG40" s="22">
        <f>COUNTIF(Z40:BC40,"公")</f>
        <v>0</v>
      </c>
      <c r="CH40" s="22">
        <f>COUNTIF(Z40:BC40, "")</f>
        <v>10</v>
      </c>
      <c r="CI40" s="34">
        <f>SUM(BV40:CH40)</f>
        <v>10</v>
      </c>
      <c r="CJ40" s="24">
        <f>COUNTIF(AE40:AF40,"")+COUNTIF(AL40:AM40,"")+COUNTIF(AR40:AT40,"")+ COUNTIF(AZ40:BA40,"")+ COUNTIF(AE40:AF40,"例")+COUNTIF(AL40:AM40,"例")+COUNTIF(AR40:AT40,"例")+COUNTIF(AZ40:BA40,"例")+ COUNTIF(AE40:AF40,"息")+COUNTIF(AL40:AM40,"息")+COUNTIF(AR40:AT40,"息")+ COUNTIF(AZ40:BA40,"息")+COUNTIF(AE40:AF40,"特")+COUNTIF(AL40:AM40,"特")+COUNTIF(AR40:AT40,"特")+COUNTIF(AZ40:BA40,"特")+COUNTIF(AE40:AF40,"補*")+COUNTIF(AL40:AM40,"補*")+COUNTIF(AR40:AT40,"補*")+COUNTIF(AZ40:BA40,"補*")+COUNTIF(AE40:AF40,"喪")+COUNTIF(AL40:AM40,"喪")+COUNTIF(AR40:AT40,"喪")+COUNTIF(AZ40:BA40,"喪")</f>
        <v>4</v>
      </c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</row>
    <row r="41" spans="1:156" s="3" customFormat="1" ht="49.5" customHeight="1">
      <c r="A41" s="38"/>
      <c r="B41" s="22">
        <v>7</v>
      </c>
      <c r="C41" s="34" t="s">
        <v>157</v>
      </c>
      <c r="D41" s="20" t="s">
        <v>46</v>
      </c>
      <c r="E41" s="20" t="s">
        <v>51</v>
      </c>
      <c r="F41" s="20" t="s">
        <v>51</v>
      </c>
      <c r="G41" s="20" t="s">
        <v>48</v>
      </c>
      <c r="H41" s="20" t="s">
        <v>48</v>
      </c>
      <c r="I41" s="20" t="s">
        <v>48</v>
      </c>
      <c r="J41" s="20" t="s">
        <v>51</v>
      </c>
      <c r="K41" s="21" t="s">
        <v>65</v>
      </c>
      <c r="L41" s="21" t="s">
        <v>46</v>
      </c>
      <c r="M41" s="20" t="s">
        <v>7</v>
      </c>
      <c r="N41" s="21" t="s">
        <v>7</v>
      </c>
      <c r="O41" s="20" t="s">
        <v>7</v>
      </c>
      <c r="P41" s="20" t="s">
        <v>7</v>
      </c>
      <c r="Q41" s="20" t="s">
        <v>48</v>
      </c>
      <c r="R41" s="20" t="s">
        <v>7</v>
      </c>
      <c r="S41" s="20" t="s">
        <v>7</v>
      </c>
      <c r="T41" s="20" t="s">
        <v>7</v>
      </c>
      <c r="U41" s="21" t="s">
        <v>46</v>
      </c>
      <c r="V41" s="20" t="s">
        <v>7</v>
      </c>
      <c r="W41" s="20" t="s">
        <v>7</v>
      </c>
      <c r="X41" s="20" t="s">
        <v>7</v>
      </c>
      <c r="Y41" s="20" t="s">
        <v>7</v>
      </c>
      <c r="Z41" s="7"/>
      <c r="AA41" s="8" t="s">
        <v>51</v>
      </c>
      <c r="AB41" s="8" t="s">
        <v>50</v>
      </c>
      <c r="AC41" s="8"/>
      <c r="AD41" s="8" t="s">
        <v>51</v>
      </c>
      <c r="AE41" s="20" t="s">
        <v>51</v>
      </c>
      <c r="AF41" s="20" t="s">
        <v>51</v>
      </c>
      <c r="AG41" s="8" t="s">
        <v>50</v>
      </c>
      <c r="AH41" s="7"/>
      <c r="AI41" s="7" t="s">
        <v>51</v>
      </c>
      <c r="AJ41" s="7" t="s">
        <v>51</v>
      </c>
      <c r="AK41" s="8" t="s">
        <v>50</v>
      </c>
      <c r="AL41" s="20" t="s">
        <v>51</v>
      </c>
      <c r="AM41" s="20"/>
      <c r="AN41" s="8" t="s">
        <v>8</v>
      </c>
      <c r="AO41" s="8" t="s">
        <v>55</v>
      </c>
      <c r="AP41" s="7" t="s">
        <v>55</v>
      </c>
      <c r="AQ41" s="7" t="s">
        <v>8</v>
      </c>
      <c r="AR41" s="20"/>
      <c r="AS41" s="20"/>
      <c r="AT41" s="20"/>
      <c r="AU41" s="8" t="s">
        <v>55</v>
      </c>
      <c r="AV41" s="8" t="s">
        <v>55</v>
      </c>
      <c r="AW41" s="7"/>
      <c r="AX41" s="8" t="s">
        <v>55</v>
      </c>
      <c r="AY41" s="7" t="s">
        <v>8</v>
      </c>
      <c r="AZ41" s="21" t="s">
        <v>8</v>
      </c>
      <c r="BA41" s="20" t="s">
        <v>8</v>
      </c>
      <c r="BB41" s="7"/>
      <c r="BC41" s="7"/>
      <c r="BD41" s="34" t="s">
        <v>158</v>
      </c>
      <c r="BE41" s="22">
        <f t="shared" si="28"/>
        <v>10</v>
      </c>
      <c r="BF41" s="22">
        <f t="shared" si="0"/>
        <v>0</v>
      </c>
      <c r="BG41" s="22">
        <f t="shared" si="1"/>
        <v>10</v>
      </c>
      <c r="BH41" s="22">
        <f t="shared" si="2"/>
        <v>20</v>
      </c>
      <c r="BI41" s="22">
        <f t="shared" si="3"/>
        <v>3</v>
      </c>
      <c r="BJ41" s="22">
        <f t="shared" si="4"/>
        <v>4</v>
      </c>
      <c r="BK41" s="22">
        <f t="shared" si="5"/>
        <v>7</v>
      </c>
      <c r="BL41" s="22">
        <f t="shared" si="6"/>
        <v>0</v>
      </c>
      <c r="BM41" s="22">
        <f t="shared" si="7"/>
        <v>0</v>
      </c>
      <c r="BN41" s="22">
        <f t="shared" si="8"/>
        <v>0</v>
      </c>
      <c r="BO41" s="22">
        <f t="shared" si="9"/>
        <v>3</v>
      </c>
      <c r="BP41" s="22">
        <f t="shared" si="9"/>
        <v>4</v>
      </c>
      <c r="BQ41" s="22">
        <f t="shared" si="9"/>
        <v>7</v>
      </c>
      <c r="BR41" s="22">
        <f t="shared" si="10"/>
        <v>0</v>
      </c>
      <c r="BS41" s="22">
        <f t="shared" si="11"/>
        <v>0</v>
      </c>
      <c r="BT41" s="22">
        <f t="shared" si="12"/>
        <v>0</v>
      </c>
      <c r="BU41" s="22">
        <f t="shared" si="13"/>
        <v>0</v>
      </c>
      <c r="BV41" s="22">
        <f t="shared" si="14"/>
        <v>0</v>
      </c>
      <c r="BW41" s="22">
        <f t="shared" si="15"/>
        <v>0</v>
      </c>
      <c r="BX41" s="22">
        <f t="shared" si="16"/>
        <v>0</v>
      </c>
      <c r="BY41" s="22">
        <f t="shared" si="17"/>
        <v>0</v>
      </c>
      <c r="BZ41" s="22">
        <f t="shared" si="18"/>
        <v>0</v>
      </c>
      <c r="CA41" s="22">
        <f t="shared" si="19"/>
        <v>0</v>
      </c>
      <c r="CB41" s="22">
        <f t="shared" si="20"/>
        <v>0</v>
      </c>
      <c r="CC41" s="22">
        <f t="shared" si="21"/>
        <v>0</v>
      </c>
      <c r="CD41" s="22">
        <f t="shared" si="22"/>
        <v>0</v>
      </c>
      <c r="CE41" s="22">
        <f t="shared" si="23"/>
        <v>0</v>
      </c>
      <c r="CF41" s="22">
        <f t="shared" si="24"/>
        <v>0</v>
      </c>
      <c r="CG41" s="22">
        <f t="shared" si="25"/>
        <v>0</v>
      </c>
      <c r="CH41" s="22">
        <f t="shared" si="26"/>
        <v>10</v>
      </c>
      <c r="CI41" s="34">
        <f t="shared" si="27"/>
        <v>10</v>
      </c>
      <c r="CJ41" s="24">
        <f t="shared" si="29"/>
        <v>4</v>
      </c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</row>
    <row r="42" spans="1:156" s="3" customFormat="1" ht="49.5" customHeight="1">
      <c r="A42" s="38"/>
      <c r="B42" s="22">
        <v>8</v>
      </c>
      <c r="C42" s="34" t="s">
        <v>158</v>
      </c>
      <c r="D42" s="20" t="s">
        <v>51</v>
      </c>
      <c r="E42" s="21" t="s">
        <v>51</v>
      </c>
      <c r="F42" s="20" t="s">
        <v>46</v>
      </c>
      <c r="G42" s="20" t="s">
        <v>48</v>
      </c>
      <c r="H42" s="20" t="s">
        <v>51</v>
      </c>
      <c r="I42" s="20" t="s">
        <v>51</v>
      </c>
      <c r="J42" s="20" t="s">
        <v>48</v>
      </c>
      <c r="K42" s="20" t="s">
        <v>46</v>
      </c>
      <c r="L42" s="21" t="s">
        <v>51</v>
      </c>
      <c r="M42" s="20" t="s">
        <v>51</v>
      </c>
      <c r="N42" s="20" t="s">
        <v>51</v>
      </c>
      <c r="O42" s="20" t="s">
        <v>48</v>
      </c>
      <c r="P42" s="20" t="s">
        <v>56</v>
      </c>
      <c r="Q42" s="20" t="s">
        <v>47</v>
      </c>
      <c r="R42" s="20" t="s">
        <v>46</v>
      </c>
      <c r="S42" s="20" t="s">
        <v>51</v>
      </c>
      <c r="T42" s="21" t="s">
        <v>51</v>
      </c>
      <c r="U42" s="20" t="s">
        <v>51</v>
      </c>
      <c r="V42" s="20" t="s">
        <v>48</v>
      </c>
      <c r="W42" s="20" t="s">
        <v>51</v>
      </c>
      <c r="X42" s="20" t="s">
        <v>51</v>
      </c>
      <c r="Y42" s="20" t="s">
        <v>51</v>
      </c>
      <c r="Z42" s="7" t="s">
        <v>50</v>
      </c>
      <c r="AA42" s="7" t="s">
        <v>50</v>
      </c>
      <c r="AB42" s="7"/>
      <c r="AC42" s="8"/>
      <c r="AD42" s="7" t="s">
        <v>50</v>
      </c>
      <c r="AE42" s="20" t="s">
        <v>50</v>
      </c>
      <c r="AF42" s="21" t="s">
        <v>50</v>
      </c>
      <c r="AG42" s="7" t="s">
        <v>50</v>
      </c>
      <c r="AH42" s="7"/>
      <c r="AI42" s="10"/>
      <c r="AJ42" s="8" t="s">
        <v>50</v>
      </c>
      <c r="AK42" s="8" t="s">
        <v>50</v>
      </c>
      <c r="AL42" s="21" t="s">
        <v>50</v>
      </c>
      <c r="AM42" s="20" t="s">
        <v>50</v>
      </c>
      <c r="AN42" s="8"/>
      <c r="AO42" s="8"/>
      <c r="AP42" s="7" t="s">
        <v>50</v>
      </c>
      <c r="AQ42" s="7" t="s">
        <v>51</v>
      </c>
      <c r="AR42" s="21"/>
      <c r="AS42" s="21" t="s">
        <v>50</v>
      </c>
      <c r="AT42" s="21" t="s">
        <v>50</v>
      </c>
      <c r="AU42" s="7" t="s">
        <v>50</v>
      </c>
      <c r="AV42" s="7" t="s">
        <v>50</v>
      </c>
      <c r="AW42" s="7"/>
      <c r="AX42" s="8" t="s">
        <v>50</v>
      </c>
      <c r="AY42" s="8" t="s">
        <v>50</v>
      </c>
      <c r="AZ42" s="20"/>
      <c r="BA42" s="20"/>
      <c r="BB42" s="7" t="s">
        <v>50</v>
      </c>
      <c r="BC42" s="7" t="s">
        <v>50</v>
      </c>
      <c r="BD42" s="34" t="s">
        <v>153</v>
      </c>
      <c r="BE42" s="22">
        <f>COUNTIF(Z42:BC42,"D*")</f>
        <v>20</v>
      </c>
      <c r="BF42" s="22">
        <f>COUNTIF(Z42:BC42,"E*")</f>
        <v>0</v>
      </c>
      <c r="BG42" s="22">
        <f>COUNTIF(Z42:BC42,"N*")</f>
        <v>0</v>
      </c>
      <c r="BH42" s="22">
        <f>SUM(BE42:BG42)</f>
        <v>20</v>
      </c>
      <c r="BI42" s="22">
        <f>COUNTIF(D42:Y42, "例")</f>
        <v>3</v>
      </c>
      <c r="BJ42" s="22">
        <f>COUNTIF(D42:Y42, "*息*")</f>
        <v>4</v>
      </c>
      <c r="BK42" s="22">
        <f>BI42+BJ42</f>
        <v>7</v>
      </c>
      <c r="BL42" s="22">
        <f>COUNTIF(Z42:AE42, "例")</f>
        <v>0</v>
      </c>
      <c r="BM42" s="22">
        <f>COUNTIF(Z42:AE42,"*息*")</f>
        <v>0</v>
      </c>
      <c r="BN42" s="22">
        <f>BL42+BM42</f>
        <v>0</v>
      </c>
      <c r="BO42" s="22">
        <f>BI42+BL42</f>
        <v>3</v>
      </c>
      <c r="BP42" s="22">
        <f>BJ42+BM42</f>
        <v>4</v>
      </c>
      <c r="BQ42" s="22">
        <f>BK42+BN42</f>
        <v>7</v>
      </c>
      <c r="BR42" s="22">
        <f>COUNTIF(AF42:BC42,"例")</f>
        <v>0</v>
      </c>
      <c r="BS42" s="22">
        <f>COUNTIF(AF42:BC42,"*息*")</f>
        <v>0</v>
      </c>
      <c r="BT42" s="22">
        <f>SUM(BR42+BS42)</f>
        <v>0</v>
      </c>
      <c r="BU42" s="22">
        <f>COUNTIF(Z42:BC42,"*國*")</f>
        <v>0</v>
      </c>
      <c r="BV42" s="22">
        <f>COUNTIF(Z42:BC42,"例")</f>
        <v>0</v>
      </c>
      <c r="BW42" s="22">
        <f>COUNTIF(Z42:BC42,"息")</f>
        <v>0</v>
      </c>
      <c r="BX42" s="22">
        <f>COUNTIF(Z42:BC42,"國")</f>
        <v>0</v>
      </c>
      <c r="BY42" s="22">
        <f>COUNTIF(Z42:BC42,"補*")</f>
        <v>0</v>
      </c>
      <c r="BZ42" s="22">
        <f>COUNTIF(Z42:BC42,"特*")</f>
        <v>0</v>
      </c>
      <c r="CA42" s="22">
        <f>COUNTIF(Z42:BC42,"喪*")</f>
        <v>0</v>
      </c>
      <c r="CB42" s="22">
        <f>COUNTIF(Z42:BC42,"病")</f>
        <v>0</v>
      </c>
      <c r="CC42" s="22">
        <f>COUNTIF(Z42:BC42,"空")</f>
        <v>0</v>
      </c>
      <c r="CD42" s="22">
        <f>COUNTIF(Z42:BC42,"婚*")</f>
        <v>0</v>
      </c>
      <c r="CE42" s="22">
        <f>COUNTIF(Z42:BC42,"產檢")</f>
        <v>0</v>
      </c>
      <c r="CF42" s="22">
        <f>COUNTIF(Z42:BC42,"產*")</f>
        <v>0</v>
      </c>
      <c r="CG42" s="22">
        <f>COUNTIF(Z42:BC42,"公")</f>
        <v>0</v>
      </c>
      <c r="CH42" s="22">
        <f>COUNTIF(Z42:BC42, "")</f>
        <v>10</v>
      </c>
      <c r="CI42" s="34">
        <f>SUM(BV42:CH42)</f>
        <v>10</v>
      </c>
      <c r="CJ42" s="24">
        <f>COUNTIF(AE42:AF42,"")+COUNTIF(AL42:AM42,"")+COUNTIF(AR42:AT42,"")+ COUNTIF(AZ42:BA42,"")+ COUNTIF(AE42:AF42,"例")+COUNTIF(AL42:AM42,"例")+COUNTIF(AR42:AT42,"例")+COUNTIF(AZ42:BA42,"例")+ COUNTIF(AE42:AF42,"息")+COUNTIF(AL42:AM42,"息")+COUNTIF(AR42:AT42,"息")+ COUNTIF(AZ42:BA42,"息")+COUNTIF(AE42:AF42,"特")+COUNTIF(AL42:AM42,"特")+COUNTIF(AR42:AT42,"特")+COUNTIF(AZ42:BA42,"特")+COUNTIF(AE42:AF42,"補*")+COUNTIF(AL42:AM42,"補*")+COUNTIF(AR42:AT42,"補*")+COUNTIF(AZ42:BA42,"補*")+COUNTIF(AE42:AF42,"喪")+COUNTIF(AL42:AM42,"喪")+COUNTIF(AR42:AT42,"喪")+COUNTIF(AZ42:BA42,"喪")</f>
        <v>3</v>
      </c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</row>
    <row r="43" spans="1:156" s="3" customFormat="1" ht="49.5" customHeight="1">
      <c r="A43" s="38"/>
      <c r="B43" s="22">
        <v>9</v>
      </c>
      <c r="C43" s="34" t="s">
        <v>159</v>
      </c>
      <c r="D43" s="20" t="s">
        <v>46</v>
      </c>
      <c r="E43" s="20" t="s">
        <v>56</v>
      </c>
      <c r="F43" s="20" t="s">
        <v>51</v>
      </c>
      <c r="G43" s="21" t="s">
        <v>51</v>
      </c>
      <c r="H43" s="20" t="s">
        <v>51</v>
      </c>
      <c r="I43" s="21" t="s">
        <v>48</v>
      </c>
      <c r="J43" s="21" t="s">
        <v>51</v>
      </c>
      <c r="K43" s="20" t="s">
        <v>51</v>
      </c>
      <c r="L43" s="20" t="s">
        <v>46</v>
      </c>
      <c r="M43" s="21" t="s">
        <v>48</v>
      </c>
      <c r="N43" s="21" t="s">
        <v>48</v>
      </c>
      <c r="O43" s="21" t="s">
        <v>51</v>
      </c>
      <c r="P43" s="21" t="s">
        <v>51</v>
      </c>
      <c r="Q43" s="21" t="s">
        <v>51</v>
      </c>
      <c r="R43" s="21" t="s">
        <v>51</v>
      </c>
      <c r="S43" s="21" t="s">
        <v>46</v>
      </c>
      <c r="T43" s="20" t="s">
        <v>51</v>
      </c>
      <c r="U43" s="21" t="s">
        <v>51</v>
      </c>
      <c r="V43" s="21" t="s">
        <v>51</v>
      </c>
      <c r="W43" s="21" t="s">
        <v>48</v>
      </c>
      <c r="X43" s="21" t="s">
        <v>51</v>
      </c>
      <c r="Y43" s="21" t="s">
        <v>51</v>
      </c>
      <c r="Z43" s="8" t="s">
        <v>50</v>
      </c>
      <c r="AA43" s="7" t="s">
        <v>50</v>
      </c>
      <c r="AB43" s="7"/>
      <c r="AC43" s="8" t="s">
        <v>50</v>
      </c>
      <c r="AD43" s="8" t="s">
        <v>50</v>
      </c>
      <c r="AE43" s="21" t="s">
        <v>50</v>
      </c>
      <c r="AF43" s="21"/>
      <c r="AG43" s="8" t="s">
        <v>50</v>
      </c>
      <c r="AH43" s="7" t="s">
        <v>50</v>
      </c>
      <c r="AI43" s="8" t="s">
        <v>50</v>
      </c>
      <c r="AJ43" s="8" t="s">
        <v>50</v>
      </c>
      <c r="AK43" s="8"/>
      <c r="AL43" s="21" t="s">
        <v>50</v>
      </c>
      <c r="AM43" s="21" t="s">
        <v>50</v>
      </c>
      <c r="AN43" s="7"/>
      <c r="AO43" s="8" t="s">
        <v>50</v>
      </c>
      <c r="AP43" s="7" t="s">
        <v>50</v>
      </c>
      <c r="AQ43" s="8" t="s">
        <v>50</v>
      </c>
      <c r="AR43" s="21" t="s">
        <v>50</v>
      </c>
      <c r="AS43" s="21"/>
      <c r="AT43" s="21"/>
      <c r="AU43" s="9"/>
      <c r="AV43" s="7"/>
      <c r="AW43" s="8" t="s">
        <v>50</v>
      </c>
      <c r="AX43" s="8" t="s">
        <v>50</v>
      </c>
      <c r="AY43" s="8"/>
      <c r="AZ43" s="21" t="s">
        <v>50</v>
      </c>
      <c r="BA43" s="21" t="s">
        <v>50</v>
      </c>
      <c r="BB43" s="8" t="s">
        <v>50</v>
      </c>
      <c r="BC43" s="9"/>
      <c r="BD43" s="34" t="s">
        <v>159</v>
      </c>
      <c r="BE43" s="22">
        <f t="shared" si="28"/>
        <v>20</v>
      </c>
      <c r="BF43" s="22">
        <f t="shared" si="0"/>
        <v>0</v>
      </c>
      <c r="BG43" s="22">
        <f t="shared" si="1"/>
        <v>0</v>
      </c>
      <c r="BH43" s="22">
        <f t="shared" si="2"/>
        <v>20</v>
      </c>
      <c r="BI43" s="22">
        <f t="shared" si="3"/>
        <v>3</v>
      </c>
      <c r="BJ43" s="22">
        <f t="shared" si="4"/>
        <v>4</v>
      </c>
      <c r="BK43" s="22">
        <f t="shared" si="5"/>
        <v>7</v>
      </c>
      <c r="BL43" s="22">
        <f t="shared" si="6"/>
        <v>0</v>
      </c>
      <c r="BM43" s="22">
        <f t="shared" si="7"/>
        <v>0</v>
      </c>
      <c r="BN43" s="22">
        <f t="shared" si="8"/>
        <v>0</v>
      </c>
      <c r="BO43" s="22">
        <f t="shared" si="9"/>
        <v>3</v>
      </c>
      <c r="BP43" s="22">
        <f t="shared" si="9"/>
        <v>4</v>
      </c>
      <c r="BQ43" s="22">
        <f t="shared" si="9"/>
        <v>7</v>
      </c>
      <c r="BR43" s="22">
        <f t="shared" si="10"/>
        <v>0</v>
      </c>
      <c r="BS43" s="22">
        <f t="shared" si="11"/>
        <v>0</v>
      </c>
      <c r="BT43" s="22">
        <f t="shared" si="12"/>
        <v>0</v>
      </c>
      <c r="BU43" s="22">
        <f t="shared" si="13"/>
        <v>0</v>
      </c>
      <c r="BV43" s="22">
        <f t="shared" si="14"/>
        <v>0</v>
      </c>
      <c r="BW43" s="22">
        <f t="shared" si="15"/>
        <v>0</v>
      </c>
      <c r="BX43" s="22">
        <f t="shared" si="16"/>
        <v>0</v>
      </c>
      <c r="BY43" s="22">
        <f t="shared" si="17"/>
        <v>0</v>
      </c>
      <c r="BZ43" s="22">
        <f t="shared" si="18"/>
        <v>0</v>
      </c>
      <c r="CA43" s="22">
        <f t="shared" si="19"/>
        <v>0</v>
      </c>
      <c r="CB43" s="22">
        <f t="shared" si="20"/>
        <v>0</v>
      </c>
      <c r="CC43" s="22">
        <f t="shared" si="21"/>
        <v>0</v>
      </c>
      <c r="CD43" s="22">
        <f t="shared" si="22"/>
        <v>0</v>
      </c>
      <c r="CE43" s="22">
        <f t="shared" si="23"/>
        <v>0</v>
      </c>
      <c r="CF43" s="22">
        <f t="shared" si="24"/>
        <v>0</v>
      </c>
      <c r="CG43" s="22">
        <f t="shared" si="25"/>
        <v>0</v>
      </c>
      <c r="CH43" s="22">
        <f t="shared" si="26"/>
        <v>10</v>
      </c>
      <c r="CI43" s="34">
        <f t="shared" si="27"/>
        <v>10</v>
      </c>
      <c r="CJ43" s="24">
        <f t="shared" si="29"/>
        <v>3</v>
      </c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</row>
    <row r="44" spans="1:156" s="3" customFormat="1" ht="49.5" customHeight="1">
      <c r="A44" s="38"/>
      <c r="B44" s="22">
        <v>10</v>
      </c>
      <c r="C44" s="34" t="s">
        <v>160</v>
      </c>
      <c r="D44" s="21" t="s">
        <v>7</v>
      </c>
      <c r="E44" s="20" t="s">
        <v>7</v>
      </c>
      <c r="F44" s="21" t="s">
        <v>7</v>
      </c>
      <c r="G44" s="21" t="s">
        <v>46</v>
      </c>
      <c r="H44" s="21" t="s">
        <v>7</v>
      </c>
      <c r="I44" s="21" t="s">
        <v>7</v>
      </c>
      <c r="J44" s="21" t="s">
        <v>7</v>
      </c>
      <c r="K44" s="21" t="s">
        <v>7</v>
      </c>
      <c r="L44" s="20" t="s">
        <v>46</v>
      </c>
      <c r="M44" s="20" t="s">
        <v>7</v>
      </c>
      <c r="N44" s="20" t="s">
        <v>7</v>
      </c>
      <c r="O44" s="20" t="s">
        <v>48</v>
      </c>
      <c r="P44" s="20" t="s">
        <v>7</v>
      </c>
      <c r="Q44" s="20" t="s">
        <v>7</v>
      </c>
      <c r="R44" s="20" t="s">
        <v>7</v>
      </c>
      <c r="S44" s="21" t="s">
        <v>7</v>
      </c>
      <c r="T44" s="21" t="s">
        <v>46</v>
      </c>
      <c r="U44" s="20" t="s">
        <v>7</v>
      </c>
      <c r="V44" s="20" t="s">
        <v>7</v>
      </c>
      <c r="W44" s="20" t="s">
        <v>48</v>
      </c>
      <c r="X44" s="20" t="s">
        <v>48</v>
      </c>
      <c r="Y44" s="20" t="s">
        <v>46</v>
      </c>
      <c r="Z44" s="10"/>
      <c r="AA44" s="10"/>
      <c r="AB44" s="7" t="s">
        <v>55</v>
      </c>
      <c r="AC44" s="8" t="s">
        <v>55</v>
      </c>
      <c r="AD44" s="8" t="s">
        <v>55</v>
      </c>
      <c r="AE44" s="21" t="s">
        <v>55</v>
      </c>
      <c r="AF44" s="21" t="s">
        <v>55</v>
      </c>
      <c r="AG44" s="8"/>
      <c r="AH44" s="8" t="s">
        <v>55</v>
      </c>
      <c r="AI44" s="8" t="s">
        <v>55</v>
      </c>
      <c r="AJ44" s="8" t="s">
        <v>55</v>
      </c>
      <c r="AK44" s="9"/>
      <c r="AL44" s="21"/>
      <c r="AM44" s="21" t="s">
        <v>55</v>
      </c>
      <c r="AN44" s="8" t="s">
        <v>55</v>
      </c>
      <c r="AO44" s="8" t="s">
        <v>55</v>
      </c>
      <c r="AP44" s="8"/>
      <c r="AQ44" s="8" t="s">
        <v>55</v>
      </c>
      <c r="AR44" s="21" t="s">
        <v>55</v>
      </c>
      <c r="AS44" s="21" t="s">
        <v>55</v>
      </c>
      <c r="AT44" s="21"/>
      <c r="AU44" s="7"/>
      <c r="AV44" s="7"/>
      <c r="AW44" s="7" t="s">
        <v>55</v>
      </c>
      <c r="AX44" s="7" t="s">
        <v>55</v>
      </c>
      <c r="AY44" s="8" t="s">
        <v>55</v>
      </c>
      <c r="AZ44" s="20" t="s">
        <v>8</v>
      </c>
      <c r="BA44" s="20"/>
      <c r="BB44" s="7" t="s">
        <v>55</v>
      </c>
      <c r="BC44" s="8" t="s">
        <v>55</v>
      </c>
      <c r="BD44" s="34" t="s">
        <v>160</v>
      </c>
      <c r="BE44" s="22">
        <f t="shared" si="28"/>
        <v>0</v>
      </c>
      <c r="BF44" s="22">
        <f t="shared" si="0"/>
        <v>0</v>
      </c>
      <c r="BG44" s="31">
        <f t="shared" si="1"/>
        <v>20</v>
      </c>
      <c r="BH44" s="22">
        <f t="shared" si="2"/>
        <v>20</v>
      </c>
      <c r="BI44" s="22">
        <f t="shared" si="3"/>
        <v>4</v>
      </c>
      <c r="BJ44" s="22">
        <f t="shared" si="4"/>
        <v>3</v>
      </c>
      <c r="BK44" s="22">
        <f t="shared" si="5"/>
        <v>7</v>
      </c>
      <c r="BL44" s="22">
        <f t="shared" si="6"/>
        <v>0</v>
      </c>
      <c r="BM44" s="22">
        <f t="shared" si="7"/>
        <v>0</v>
      </c>
      <c r="BN44" s="22">
        <f t="shared" si="8"/>
        <v>0</v>
      </c>
      <c r="BO44" s="22">
        <f t="shared" si="9"/>
        <v>4</v>
      </c>
      <c r="BP44" s="22">
        <f t="shared" si="9"/>
        <v>3</v>
      </c>
      <c r="BQ44" s="22">
        <f t="shared" si="9"/>
        <v>7</v>
      </c>
      <c r="BR44" s="22">
        <f t="shared" si="10"/>
        <v>0</v>
      </c>
      <c r="BS44" s="22">
        <f t="shared" si="11"/>
        <v>0</v>
      </c>
      <c r="BT44" s="22">
        <f t="shared" si="12"/>
        <v>0</v>
      </c>
      <c r="BU44" s="22">
        <f t="shared" si="13"/>
        <v>0</v>
      </c>
      <c r="BV44" s="22">
        <f t="shared" si="14"/>
        <v>0</v>
      </c>
      <c r="BW44" s="22">
        <f t="shared" si="15"/>
        <v>0</v>
      </c>
      <c r="BX44" s="22">
        <f t="shared" si="16"/>
        <v>0</v>
      </c>
      <c r="BY44" s="22">
        <f t="shared" si="17"/>
        <v>0</v>
      </c>
      <c r="BZ44" s="22">
        <f t="shared" si="18"/>
        <v>0</v>
      </c>
      <c r="CA44" s="22">
        <f t="shared" si="19"/>
        <v>0</v>
      </c>
      <c r="CB44" s="22">
        <f t="shared" si="20"/>
        <v>0</v>
      </c>
      <c r="CC44" s="22">
        <f t="shared" si="21"/>
        <v>0</v>
      </c>
      <c r="CD44" s="22">
        <f t="shared" si="22"/>
        <v>0</v>
      </c>
      <c r="CE44" s="22">
        <f t="shared" si="23"/>
        <v>0</v>
      </c>
      <c r="CF44" s="22">
        <f t="shared" si="24"/>
        <v>0</v>
      </c>
      <c r="CG44" s="22">
        <f t="shared" si="25"/>
        <v>0</v>
      </c>
      <c r="CH44" s="22">
        <f t="shared" si="26"/>
        <v>10</v>
      </c>
      <c r="CI44" s="34">
        <f t="shared" si="27"/>
        <v>10</v>
      </c>
      <c r="CJ44" s="24">
        <f t="shared" si="29"/>
        <v>3</v>
      </c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</row>
    <row r="45" spans="1:156" s="3" customFormat="1" ht="49.5" customHeight="1">
      <c r="A45" s="38"/>
      <c r="B45" s="22">
        <v>11</v>
      </c>
      <c r="C45" s="34" t="s">
        <v>161</v>
      </c>
      <c r="D45" s="21" t="s">
        <v>7</v>
      </c>
      <c r="E45" s="21" t="s">
        <v>46</v>
      </c>
      <c r="F45" s="21" t="s">
        <v>7</v>
      </c>
      <c r="G45" s="21" t="s">
        <v>7</v>
      </c>
      <c r="H45" s="20" t="s">
        <v>48</v>
      </c>
      <c r="I45" s="20" t="s">
        <v>48</v>
      </c>
      <c r="J45" s="20" t="s">
        <v>48</v>
      </c>
      <c r="K45" s="21" t="s">
        <v>7</v>
      </c>
      <c r="L45" s="21" t="s">
        <v>7</v>
      </c>
      <c r="M45" s="20" t="s">
        <v>7</v>
      </c>
      <c r="N45" s="20" t="s">
        <v>46</v>
      </c>
      <c r="O45" s="21" t="s">
        <v>7</v>
      </c>
      <c r="P45" s="21" t="s">
        <v>7</v>
      </c>
      <c r="Q45" s="21" t="s">
        <v>7</v>
      </c>
      <c r="R45" s="21" t="s">
        <v>7</v>
      </c>
      <c r="S45" s="21" t="s">
        <v>7</v>
      </c>
      <c r="T45" s="21" t="s">
        <v>46</v>
      </c>
      <c r="U45" s="20" t="s">
        <v>7</v>
      </c>
      <c r="V45" s="21" t="s">
        <v>7</v>
      </c>
      <c r="W45" s="21" t="s">
        <v>7</v>
      </c>
      <c r="X45" s="21" t="s">
        <v>7</v>
      </c>
      <c r="Y45" s="21" t="s">
        <v>46</v>
      </c>
      <c r="Z45" s="7" t="s">
        <v>53</v>
      </c>
      <c r="AA45" s="8" t="s">
        <v>53</v>
      </c>
      <c r="AB45" s="8" t="s">
        <v>53</v>
      </c>
      <c r="AC45" s="8" t="s">
        <v>53</v>
      </c>
      <c r="AD45" s="8"/>
      <c r="AE45" s="20" t="s">
        <v>53</v>
      </c>
      <c r="AF45" s="20" t="s">
        <v>53</v>
      </c>
      <c r="AG45" s="8"/>
      <c r="AH45" s="7" t="s">
        <v>53</v>
      </c>
      <c r="AI45" s="7" t="s">
        <v>53</v>
      </c>
      <c r="AJ45" s="7"/>
      <c r="AK45" s="8" t="s">
        <v>53</v>
      </c>
      <c r="AL45" s="20" t="s">
        <v>53</v>
      </c>
      <c r="AM45" s="21" t="s">
        <v>53</v>
      </c>
      <c r="AN45" s="8" t="s">
        <v>53</v>
      </c>
      <c r="AO45" s="8"/>
      <c r="AP45" s="8" t="s">
        <v>53</v>
      </c>
      <c r="AQ45" s="8" t="s">
        <v>53</v>
      </c>
      <c r="AR45" s="21"/>
      <c r="AS45" s="21"/>
      <c r="AT45" s="21"/>
      <c r="AU45" s="8"/>
      <c r="AV45" s="8" t="s">
        <v>53</v>
      </c>
      <c r="AW45" s="7" t="s">
        <v>53</v>
      </c>
      <c r="AX45" s="7"/>
      <c r="AY45" s="8" t="s">
        <v>53</v>
      </c>
      <c r="AZ45" s="21" t="s">
        <v>53</v>
      </c>
      <c r="BA45" s="21" t="s">
        <v>53</v>
      </c>
      <c r="BB45" s="8"/>
      <c r="BC45" s="7" t="s">
        <v>7</v>
      </c>
      <c r="BD45" s="35" t="s">
        <v>162</v>
      </c>
      <c r="BE45" s="22">
        <f t="shared" si="28"/>
        <v>0</v>
      </c>
      <c r="BF45" s="30">
        <f t="shared" si="0"/>
        <v>20</v>
      </c>
      <c r="BG45" s="22">
        <f t="shared" si="1"/>
        <v>0</v>
      </c>
      <c r="BH45" s="22">
        <f t="shared" si="2"/>
        <v>20</v>
      </c>
      <c r="BI45" s="22">
        <f t="shared" si="3"/>
        <v>4</v>
      </c>
      <c r="BJ45" s="22">
        <f t="shared" si="4"/>
        <v>3</v>
      </c>
      <c r="BK45" s="22">
        <f t="shared" si="5"/>
        <v>7</v>
      </c>
      <c r="BL45" s="22">
        <f t="shared" si="6"/>
        <v>0</v>
      </c>
      <c r="BM45" s="22">
        <f t="shared" si="7"/>
        <v>0</v>
      </c>
      <c r="BN45" s="22">
        <f t="shared" si="8"/>
        <v>0</v>
      </c>
      <c r="BO45" s="22">
        <f t="shared" si="9"/>
        <v>4</v>
      </c>
      <c r="BP45" s="22">
        <f t="shared" si="9"/>
        <v>3</v>
      </c>
      <c r="BQ45" s="22">
        <f t="shared" si="9"/>
        <v>7</v>
      </c>
      <c r="BR45" s="22">
        <f t="shared" si="10"/>
        <v>0</v>
      </c>
      <c r="BS45" s="22">
        <f t="shared" si="11"/>
        <v>0</v>
      </c>
      <c r="BT45" s="22">
        <f t="shared" si="12"/>
        <v>0</v>
      </c>
      <c r="BU45" s="22">
        <f t="shared" si="13"/>
        <v>0</v>
      </c>
      <c r="BV45" s="22">
        <f t="shared" si="14"/>
        <v>0</v>
      </c>
      <c r="BW45" s="22">
        <f t="shared" si="15"/>
        <v>0</v>
      </c>
      <c r="BX45" s="22">
        <f t="shared" si="16"/>
        <v>0</v>
      </c>
      <c r="BY45" s="22">
        <f t="shared" si="17"/>
        <v>0</v>
      </c>
      <c r="BZ45" s="22">
        <f t="shared" si="18"/>
        <v>0</v>
      </c>
      <c r="CA45" s="22">
        <f t="shared" si="19"/>
        <v>0</v>
      </c>
      <c r="CB45" s="22">
        <f t="shared" si="20"/>
        <v>0</v>
      </c>
      <c r="CC45" s="22">
        <f t="shared" si="21"/>
        <v>0</v>
      </c>
      <c r="CD45" s="22">
        <f t="shared" si="22"/>
        <v>0</v>
      </c>
      <c r="CE45" s="22">
        <f t="shared" si="23"/>
        <v>0</v>
      </c>
      <c r="CF45" s="22">
        <f t="shared" si="24"/>
        <v>0</v>
      </c>
      <c r="CG45" s="22">
        <f t="shared" si="25"/>
        <v>0</v>
      </c>
      <c r="CH45" s="22">
        <f t="shared" si="26"/>
        <v>10</v>
      </c>
      <c r="CI45" s="34">
        <f t="shared" si="27"/>
        <v>10</v>
      </c>
      <c r="CJ45" s="24">
        <f t="shared" si="29"/>
        <v>3</v>
      </c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</row>
    <row r="46" spans="1:156" s="3" customFormat="1" ht="49.5" customHeight="1">
      <c r="A46" s="38"/>
      <c r="B46" s="22">
        <v>12</v>
      </c>
      <c r="C46" s="34" t="s">
        <v>162</v>
      </c>
      <c r="D46" s="20" t="s">
        <v>7</v>
      </c>
      <c r="E46" s="20" t="s">
        <v>7</v>
      </c>
      <c r="F46" s="20" t="s">
        <v>7</v>
      </c>
      <c r="G46" s="20" t="s">
        <v>46</v>
      </c>
      <c r="H46" s="20" t="s">
        <v>48</v>
      </c>
      <c r="I46" s="20" t="s">
        <v>51</v>
      </c>
      <c r="J46" s="20" t="s">
        <v>51</v>
      </c>
      <c r="K46" s="20" t="s">
        <v>51</v>
      </c>
      <c r="L46" s="21" t="s">
        <v>51</v>
      </c>
      <c r="M46" s="20" t="s">
        <v>46</v>
      </c>
      <c r="N46" s="21" t="s">
        <v>51</v>
      </c>
      <c r="O46" s="21" t="s">
        <v>51</v>
      </c>
      <c r="P46" s="21" t="s">
        <v>51</v>
      </c>
      <c r="Q46" s="21" t="s">
        <v>51</v>
      </c>
      <c r="R46" s="21" t="s">
        <v>46</v>
      </c>
      <c r="S46" s="21" t="s">
        <v>51</v>
      </c>
      <c r="T46" s="20" t="s">
        <v>51</v>
      </c>
      <c r="U46" s="21" t="s">
        <v>51</v>
      </c>
      <c r="V46" s="21" t="s">
        <v>51</v>
      </c>
      <c r="W46" s="21" t="s">
        <v>48</v>
      </c>
      <c r="X46" s="21" t="s">
        <v>48</v>
      </c>
      <c r="Y46" s="21" t="s">
        <v>46</v>
      </c>
      <c r="Z46" s="8" t="s">
        <v>55</v>
      </c>
      <c r="AA46" s="7" t="s">
        <v>55</v>
      </c>
      <c r="AB46" s="7" t="s">
        <v>55</v>
      </c>
      <c r="AC46" s="8"/>
      <c r="AD46" s="7" t="s">
        <v>55</v>
      </c>
      <c r="AE46" s="20" t="s">
        <v>55</v>
      </c>
      <c r="AF46" s="21"/>
      <c r="AG46" s="9"/>
      <c r="AH46" s="9"/>
      <c r="AI46" s="9"/>
      <c r="AJ46" s="9"/>
      <c r="AK46" s="7" t="s">
        <v>55</v>
      </c>
      <c r="AL46" s="21" t="s">
        <v>55</v>
      </c>
      <c r="AM46" s="20" t="s">
        <v>55</v>
      </c>
      <c r="AN46" s="7" t="s">
        <v>55</v>
      </c>
      <c r="AO46" s="7"/>
      <c r="AP46" s="8" t="s">
        <v>55</v>
      </c>
      <c r="AQ46" s="8" t="s">
        <v>55</v>
      </c>
      <c r="AR46" s="21" t="s">
        <v>55</v>
      </c>
      <c r="AS46" s="21"/>
      <c r="AT46" s="20" t="s">
        <v>8</v>
      </c>
      <c r="AU46" s="7" t="s">
        <v>8</v>
      </c>
      <c r="AV46" s="8" t="s">
        <v>55</v>
      </c>
      <c r="AW46" s="8" t="s">
        <v>55</v>
      </c>
      <c r="AX46" s="8"/>
      <c r="AY46" s="8" t="s">
        <v>55</v>
      </c>
      <c r="AZ46" s="21" t="s">
        <v>55</v>
      </c>
      <c r="BA46" s="21" t="s">
        <v>55</v>
      </c>
      <c r="BB46" s="8"/>
      <c r="BC46" s="7" t="s">
        <v>55</v>
      </c>
      <c r="BD46" s="34" t="s">
        <v>157</v>
      </c>
      <c r="BE46" s="22">
        <f>COUNTIF(Z46:BC46,"D*")</f>
        <v>0</v>
      </c>
      <c r="BF46" s="22">
        <f>COUNTIF(Z46:BC46,"E*")</f>
        <v>0</v>
      </c>
      <c r="BG46" s="31">
        <f>COUNTIF(Z46:BC46,"N*")</f>
        <v>20</v>
      </c>
      <c r="BH46" s="22">
        <f>SUM(BE46:BG46)</f>
        <v>20</v>
      </c>
      <c r="BI46" s="22">
        <f>COUNTIF(D46:Y46, "例")</f>
        <v>4</v>
      </c>
      <c r="BJ46" s="22">
        <f>COUNTIF(D46:Y46, "*息*")</f>
        <v>3</v>
      </c>
      <c r="BK46" s="22">
        <f>BI46+BJ46</f>
        <v>7</v>
      </c>
      <c r="BL46" s="22">
        <f>COUNTIF(Z46:AE46, "例")</f>
        <v>0</v>
      </c>
      <c r="BM46" s="22">
        <f>COUNTIF(Z46:AE46,"*息*")</f>
        <v>0</v>
      </c>
      <c r="BN46" s="22">
        <f>BL46+BM46</f>
        <v>0</v>
      </c>
      <c r="BO46" s="22">
        <f>BI46+BL46</f>
        <v>4</v>
      </c>
      <c r="BP46" s="22">
        <f>BJ46+BM46</f>
        <v>3</v>
      </c>
      <c r="BQ46" s="22">
        <f>BK46+BN46</f>
        <v>7</v>
      </c>
      <c r="BR46" s="22">
        <f>COUNTIF(AF46:BC46,"例")</f>
        <v>0</v>
      </c>
      <c r="BS46" s="22">
        <f>COUNTIF(AF46:BC46,"*息*")</f>
        <v>0</v>
      </c>
      <c r="BT46" s="22">
        <f>SUM(BR46+BS46)</f>
        <v>0</v>
      </c>
      <c r="BU46" s="22">
        <f>COUNTIF(Z46:BC46,"*國*")</f>
        <v>0</v>
      </c>
      <c r="BV46" s="22">
        <f>COUNTIF(Z46:BC46,"例")</f>
        <v>0</v>
      </c>
      <c r="BW46" s="22">
        <f>COUNTIF(Z46:BC46,"息")</f>
        <v>0</v>
      </c>
      <c r="BX46" s="22">
        <f>COUNTIF(Z46:BC46,"國")</f>
        <v>0</v>
      </c>
      <c r="BY46" s="22">
        <f>COUNTIF(Z46:BC46,"補*")</f>
        <v>0</v>
      </c>
      <c r="BZ46" s="22">
        <f>COUNTIF(Z46:BC46,"特*")</f>
        <v>0</v>
      </c>
      <c r="CA46" s="22">
        <f>COUNTIF(Z46:BC46,"喪*")</f>
        <v>0</v>
      </c>
      <c r="CB46" s="22">
        <f>COUNTIF(Z46:BC46,"病")</f>
        <v>0</v>
      </c>
      <c r="CC46" s="22">
        <f>COUNTIF(Z46:BC46,"空")</f>
        <v>0</v>
      </c>
      <c r="CD46" s="22">
        <f>COUNTIF(Z46:BC46,"婚*")</f>
        <v>0</v>
      </c>
      <c r="CE46" s="22">
        <f>COUNTIF(Z46:BC46,"產檢")</f>
        <v>0</v>
      </c>
      <c r="CF46" s="22">
        <f>COUNTIF(Z46:BC46,"產*")</f>
        <v>0</v>
      </c>
      <c r="CG46" s="22">
        <f>COUNTIF(Z46:BC46,"公")</f>
        <v>0</v>
      </c>
      <c r="CH46" s="22">
        <f>COUNTIF(Z46:BC46, "")</f>
        <v>10</v>
      </c>
      <c r="CI46" s="34">
        <f>SUM(BV46:CH46)</f>
        <v>10</v>
      </c>
      <c r="CJ46" s="24">
        <f>COUNTIF(AE46:AF46,"")+COUNTIF(AL46:AM46,"")+COUNTIF(AR46:AT46,"")+ COUNTIF(AZ46:BA46,"")+ COUNTIF(AE46:AF46,"例")+COUNTIF(AL46:AM46,"例")+COUNTIF(AR46:AT46,"例")+COUNTIF(AZ46:BA46,"例")+ COUNTIF(AE46:AF46,"息")+COUNTIF(AL46:AM46,"息")+COUNTIF(AR46:AT46,"息")+ COUNTIF(AZ46:BA46,"息")+COUNTIF(AE46:AF46,"特")+COUNTIF(AL46:AM46,"特")+COUNTIF(AR46:AT46,"特")+COUNTIF(AZ46:BA46,"特")+COUNTIF(AE46:AF46,"補*")+COUNTIF(AL46:AM46,"補*")+COUNTIF(AR46:AT46,"補*")+COUNTIF(AZ46:BA46,"補*")+COUNTIF(AE46:AF46,"喪")+COUNTIF(AL46:AM46,"喪")+COUNTIF(AR46:AT46,"喪")+COUNTIF(AZ46:BA46,"喪")</f>
        <v>2</v>
      </c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</row>
    <row r="47" spans="1:156" s="3" customFormat="1" ht="49.5" customHeight="1" thickBot="1">
      <c r="A47" s="38"/>
      <c r="B47" s="22">
        <v>13</v>
      </c>
      <c r="C47" s="34" t="s">
        <v>163</v>
      </c>
      <c r="D47" s="21" t="s">
        <v>51</v>
      </c>
      <c r="E47" s="21" t="s">
        <v>51</v>
      </c>
      <c r="F47" s="21" t="s">
        <v>51</v>
      </c>
      <c r="G47" s="21" t="s">
        <v>51</v>
      </c>
      <c r="H47" s="20" t="s">
        <v>46</v>
      </c>
      <c r="I47" s="20" t="s">
        <v>48</v>
      </c>
      <c r="J47" s="20" t="s">
        <v>48</v>
      </c>
      <c r="K47" s="21" t="s">
        <v>48</v>
      </c>
      <c r="L47" s="21" t="s">
        <v>51</v>
      </c>
      <c r="M47" s="20" t="s">
        <v>51</v>
      </c>
      <c r="N47" s="20" t="s">
        <v>51</v>
      </c>
      <c r="O47" s="21" t="s">
        <v>46</v>
      </c>
      <c r="P47" s="21" t="s">
        <v>51</v>
      </c>
      <c r="Q47" s="21" t="s">
        <v>51</v>
      </c>
      <c r="R47" s="21" t="s">
        <v>46</v>
      </c>
      <c r="S47" s="21" t="s">
        <v>51</v>
      </c>
      <c r="T47" s="21" t="s">
        <v>51</v>
      </c>
      <c r="U47" s="20" t="s">
        <v>48</v>
      </c>
      <c r="V47" s="21" t="s">
        <v>51</v>
      </c>
      <c r="W47" s="21" t="s">
        <v>51</v>
      </c>
      <c r="X47" s="21" t="s">
        <v>51</v>
      </c>
      <c r="Y47" s="21" t="s">
        <v>51</v>
      </c>
      <c r="Z47" s="8"/>
      <c r="AA47" s="8" t="s">
        <v>50</v>
      </c>
      <c r="AB47" s="8" t="s">
        <v>50</v>
      </c>
      <c r="AC47" s="8" t="s">
        <v>50</v>
      </c>
      <c r="AD47" s="8"/>
      <c r="AE47" s="21" t="s">
        <v>50</v>
      </c>
      <c r="AF47" s="21" t="s">
        <v>50</v>
      </c>
      <c r="AG47" s="8" t="s">
        <v>50</v>
      </c>
      <c r="AH47" s="7" t="s">
        <v>50</v>
      </c>
      <c r="AI47" s="7"/>
      <c r="AJ47" s="7"/>
      <c r="AK47" s="7" t="s">
        <v>50</v>
      </c>
      <c r="AL47" s="21" t="s">
        <v>50</v>
      </c>
      <c r="AM47" s="21"/>
      <c r="AN47" s="17" t="s">
        <v>50</v>
      </c>
      <c r="AO47" s="17" t="s">
        <v>50</v>
      </c>
      <c r="AP47" s="8"/>
      <c r="AQ47" s="17" t="s">
        <v>50</v>
      </c>
      <c r="AR47" s="51" t="s">
        <v>50</v>
      </c>
      <c r="AS47" s="20" t="s">
        <v>53</v>
      </c>
      <c r="AT47" s="20" t="s">
        <v>53</v>
      </c>
      <c r="AU47" s="8" t="s">
        <v>53</v>
      </c>
      <c r="AV47" s="8"/>
      <c r="AW47" s="8" t="s">
        <v>53</v>
      </c>
      <c r="AX47" s="7" t="s">
        <v>53</v>
      </c>
      <c r="AY47" s="9"/>
      <c r="AZ47" s="21"/>
      <c r="BA47" s="21"/>
      <c r="BB47" s="8" t="s">
        <v>53</v>
      </c>
      <c r="BC47" s="8" t="s">
        <v>7</v>
      </c>
      <c r="BD47" s="35" t="s">
        <v>163</v>
      </c>
      <c r="BE47" s="22">
        <f t="shared" si="28"/>
        <v>13</v>
      </c>
      <c r="BF47" s="22">
        <f t="shared" si="0"/>
        <v>7</v>
      </c>
      <c r="BG47" s="22">
        <f t="shared" si="1"/>
        <v>0</v>
      </c>
      <c r="BH47" s="22">
        <f t="shared" si="2"/>
        <v>20</v>
      </c>
      <c r="BI47" s="22">
        <f t="shared" si="3"/>
        <v>3</v>
      </c>
      <c r="BJ47" s="22">
        <f t="shared" si="4"/>
        <v>4</v>
      </c>
      <c r="BK47" s="22">
        <f t="shared" si="5"/>
        <v>7</v>
      </c>
      <c r="BL47" s="22">
        <f t="shared" si="6"/>
        <v>0</v>
      </c>
      <c r="BM47" s="22">
        <f t="shared" si="7"/>
        <v>0</v>
      </c>
      <c r="BN47" s="22">
        <f t="shared" si="8"/>
        <v>0</v>
      </c>
      <c r="BO47" s="22">
        <f t="shared" si="9"/>
        <v>3</v>
      </c>
      <c r="BP47" s="22">
        <f t="shared" si="9"/>
        <v>4</v>
      </c>
      <c r="BQ47" s="22">
        <f t="shared" si="9"/>
        <v>7</v>
      </c>
      <c r="BR47" s="22">
        <f t="shared" si="10"/>
        <v>0</v>
      </c>
      <c r="BS47" s="22">
        <f t="shared" si="11"/>
        <v>0</v>
      </c>
      <c r="BT47" s="22">
        <f t="shared" si="12"/>
        <v>0</v>
      </c>
      <c r="BU47" s="22">
        <f t="shared" si="13"/>
        <v>0</v>
      </c>
      <c r="BV47" s="22">
        <f t="shared" si="14"/>
        <v>0</v>
      </c>
      <c r="BW47" s="22">
        <f t="shared" si="15"/>
        <v>0</v>
      </c>
      <c r="BX47" s="22">
        <f t="shared" si="16"/>
        <v>0</v>
      </c>
      <c r="BY47" s="22">
        <f t="shared" si="17"/>
        <v>0</v>
      </c>
      <c r="BZ47" s="22">
        <f t="shared" si="18"/>
        <v>0</v>
      </c>
      <c r="CA47" s="22">
        <f t="shared" si="19"/>
        <v>0</v>
      </c>
      <c r="CB47" s="22">
        <f t="shared" si="20"/>
        <v>0</v>
      </c>
      <c r="CC47" s="22">
        <f t="shared" si="21"/>
        <v>0</v>
      </c>
      <c r="CD47" s="22">
        <f t="shared" si="22"/>
        <v>0</v>
      </c>
      <c r="CE47" s="22">
        <f t="shared" si="23"/>
        <v>0</v>
      </c>
      <c r="CF47" s="22">
        <f t="shared" si="24"/>
        <v>0</v>
      </c>
      <c r="CG47" s="22">
        <f t="shared" si="25"/>
        <v>0</v>
      </c>
      <c r="CH47" s="22">
        <f t="shared" si="26"/>
        <v>10</v>
      </c>
      <c r="CI47" s="34">
        <f t="shared" si="27"/>
        <v>10</v>
      </c>
      <c r="CJ47" s="24">
        <f t="shared" si="29"/>
        <v>3</v>
      </c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</row>
    <row r="48" spans="1:156" s="18" customFormat="1" ht="49.5" customHeight="1">
      <c r="A48" s="38"/>
      <c r="B48" s="22">
        <v>1</v>
      </c>
      <c r="C48" s="34" t="s">
        <v>208</v>
      </c>
      <c r="D48" s="20" t="s">
        <v>48</v>
      </c>
      <c r="E48" s="20" t="s">
        <v>51</v>
      </c>
      <c r="F48" s="21" t="s">
        <v>51</v>
      </c>
      <c r="G48" s="21" t="s">
        <v>51</v>
      </c>
      <c r="H48" s="21" t="s">
        <v>46</v>
      </c>
      <c r="I48" s="20" t="s">
        <v>51</v>
      </c>
      <c r="J48" s="21" t="s">
        <v>51</v>
      </c>
      <c r="K48" s="20" t="s">
        <v>46</v>
      </c>
      <c r="L48" s="20" t="s">
        <v>8</v>
      </c>
      <c r="M48" s="20" t="s">
        <v>8</v>
      </c>
      <c r="N48" s="20" t="s">
        <v>48</v>
      </c>
      <c r="O48" s="21" t="s">
        <v>48</v>
      </c>
      <c r="P48" s="20" t="s">
        <v>48</v>
      </c>
      <c r="Q48" s="20" t="s">
        <v>8</v>
      </c>
      <c r="R48" s="20" t="s">
        <v>8</v>
      </c>
      <c r="S48" s="20" t="s">
        <v>8</v>
      </c>
      <c r="T48" s="20" t="s">
        <v>8</v>
      </c>
      <c r="U48" s="20" t="s">
        <v>46</v>
      </c>
      <c r="V48" s="21" t="s">
        <v>8</v>
      </c>
      <c r="W48" s="20" t="s">
        <v>8</v>
      </c>
      <c r="X48" s="20" t="s">
        <v>8</v>
      </c>
      <c r="Y48" s="20" t="s">
        <v>8</v>
      </c>
      <c r="Z48" s="8"/>
      <c r="AA48" s="8"/>
      <c r="AB48" s="8" t="s">
        <v>50</v>
      </c>
      <c r="AC48" s="8" t="s">
        <v>50</v>
      </c>
      <c r="AD48" s="7" t="s">
        <v>50</v>
      </c>
      <c r="AE48" s="21"/>
      <c r="AF48" s="20" t="s">
        <v>50</v>
      </c>
      <c r="AG48" s="7" t="s">
        <v>50</v>
      </c>
      <c r="AH48" s="9"/>
      <c r="AI48" s="9"/>
      <c r="AJ48" s="7" t="s">
        <v>50</v>
      </c>
      <c r="AK48" s="8" t="s">
        <v>50</v>
      </c>
      <c r="AL48" s="21" t="s">
        <v>50</v>
      </c>
      <c r="AM48" s="21" t="s">
        <v>50</v>
      </c>
      <c r="AN48" s="7"/>
      <c r="AO48" s="7" t="s">
        <v>51</v>
      </c>
      <c r="AP48" s="7" t="s">
        <v>50</v>
      </c>
      <c r="AQ48" s="7" t="s">
        <v>50</v>
      </c>
      <c r="AR48" s="21" t="s">
        <v>50</v>
      </c>
      <c r="AS48" s="21"/>
      <c r="AT48" s="21" t="s">
        <v>50</v>
      </c>
      <c r="AU48" s="7" t="s">
        <v>50</v>
      </c>
      <c r="AV48" s="7" t="s">
        <v>53</v>
      </c>
      <c r="AW48" s="8" t="s">
        <v>53</v>
      </c>
      <c r="AX48" s="8"/>
      <c r="AY48" s="8" t="s">
        <v>53</v>
      </c>
      <c r="AZ48" s="20" t="s">
        <v>53</v>
      </c>
      <c r="BA48" s="20" t="s">
        <v>53</v>
      </c>
      <c r="BB48" s="10"/>
      <c r="BC48" s="10"/>
      <c r="BD48" s="34" t="s">
        <v>174</v>
      </c>
      <c r="BE48" s="22">
        <f>COUNTIF(Z48:BC48,"D*")</f>
        <v>15</v>
      </c>
      <c r="BF48" s="22">
        <f>COUNTIF(Z48:BC48,"E*")</f>
        <v>5</v>
      </c>
      <c r="BG48" s="22">
        <f>COUNTIF(Z48:BC48,"N*")</f>
        <v>0</v>
      </c>
      <c r="BH48" s="22">
        <f>SUM(BE48:BG48)</f>
        <v>20</v>
      </c>
      <c r="BI48" s="22">
        <f>COUNTIF(D48:Y48, "例")</f>
        <v>3</v>
      </c>
      <c r="BJ48" s="22">
        <f>COUNTIF(D48:Y48, "*息*")</f>
        <v>4</v>
      </c>
      <c r="BK48" s="22">
        <f>BI48+BJ48</f>
        <v>7</v>
      </c>
      <c r="BL48" s="22">
        <f>COUNTIF(Z48:AE48, "例")</f>
        <v>0</v>
      </c>
      <c r="BM48" s="22">
        <f>COUNTIF(Z48:AE48,"*息*")</f>
        <v>0</v>
      </c>
      <c r="BN48" s="22">
        <f>BL48+BM48</f>
        <v>0</v>
      </c>
      <c r="BO48" s="22">
        <f>BI48+BL48</f>
        <v>3</v>
      </c>
      <c r="BP48" s="22">
        <f>BJ48+BM48</f>
        <v>4</v>
      </c>
      <c r="BQ48" s="22">
        <f>BK48+BN48</f>
        <v>7</v>
      </c>
      <c r="BR48" s="22">
        <f>COUNTIF(AF48:BC48,"例")</f>
        <v>0</v>
      </c>
      <c r="BS48" s="22">
        <f>COUNTIF(AF48:BC48,"*息*")</f>
        <v>0</v>
      </c>
      <c r="BT48" s="22">
        <f>SUM(BR48+BS48)</f>
        <v>0</v>
      </c>
      <c r="BU48" s="22">
        <f>COUNTIF(Z48:BC48,"*國*")</f>
        <v>0</v>
      </c>
      <c r="BV48" s="22">
        <f>COUNTIF(Z48:BC48,"例")</f>
        <v>0</v>
      </c>
      <c r="BW48" s="22">
        <f>COUNTIF(Z48:BC48,"息")</f>
        <v>0</v>
      </c>
      <c r="BX48" s="22">
        <f>COUNTIF(Z48:BC48,"國")</f>
        <v>0</v>
      </c>
      <c r="BY48" s="22">
        <f>COUNTIF(Z48:BC48,"補*")</f>
        <v>0</v>
      </c>
      <c r="BZ48" s="22">
        <f>COUNTIF(Z48:BC48,"特*")</f>
        <v>0</v>
      </c>
      <c r="CA48" s="22">
        <f>COUNTIF(Z48:BC48,"喪*")</f>
        <v>0</v>
      </c>
      <c r="CB48" s="22">
        <f>COUNTIF(Z48:BC48,"病")</f>
        <v>0</v>
      </c>
      <c r="CC48" s="22">
        <f>COUNTIF(Z48:BC48,"空")</f>
        <v>0</v>
      </c>
      <c r="CD48" s="22">
        <f>COUNTIF(Z48:BC48,"婚*")</f>
        <v>0</v>
      </c>
      <c r="CE48" s="22">
        <f>COUNTIF(Z48:BC48,"產檢")</f>
        <v>0</v>
      </c>
      <c r="CF48" s="22">
        <f>COUNTIF(Z48:BC48,"產*")</f>
        <v>0</v>
      </c>
      <c r="CG48" s="22">
        <f>COUNTIF(Z48:BC48,"公")</f>
        <v>0</v>
      </c>
      <c r="CH48" s="22">
        <f>COUNTIF(Z48:BC48, "")</f>
        <v>10</v>
      </c>
      <c r="CI48" s="34">
        <f>SUM(BV48:CH48)</f>
        <v>10</v>
      </c>
      <c r="CJ48" s="24">
        <f>COUNTIF(AE48:AF48,"")+COUNTIF(AL48:AM48,"")+COUNTIF(AR48:AT48,"")+ COUNTIF(AZ48:BA48,"")+ COUNTIF(AE48:AF48,"例")+COUNTIF(AL48:AM48,"例")+COUNTIF(AR48:AT48,"例")+COUNTIF(AZ48:BA48,"例")+ COUNTIF(AE48:AF48,"息")+COUNTIF(AL48:AM48,"息")+COUNTIF(AR48:AT48,"息")+ COUNTIF(AZ48:BA48,"息")+COUNTIF(AE48:AF48,"特")+COUNTIF(AL48:AM48,"特")+COUNTIF(AR48:AT48,"特")+COUNTIF(AZ48:BA48,"特")+COUNTIF(AE48:AF48,"補*")+COUNTIF(AL48:AM48,"補*")+COUNTIF(AR48:AT48,"補*")+COUNTIF(AZ48:BA48,"補*")+COUNTIF(AE48:AF48,"喪")+COUNTIF(AL48:AM48,"喪")+COUNTIF(AR48:AT48,"喪")+COUNTIF(AZ48:BA48,"喪")</f>
        <v>2</v>
      </c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</row>
    <row r="49" spans="1:156" s="3" customFormat="1" ht="49.5" customHeight="1">
      <c r="A49" s="38"/>
      <c r="B49" s="22">
        <v>2</v>
      </c>
      <c r="C49" s="34" t="s">
        <v>209</v>
      </c>
      <c r="D49" s="20" t="s">
        <v>8</v>
      </c>
      <c r="E49" s="20" t="s">
        <v>8</v>
      </c>
      <c r="F49" s="20" t="s">
        <v>46</v>
      </c>
      <c r="G49" s="20" t="s">
        <v>8</v>
      </c>
      <c r="H49" s="20" t="s">
        <v>8</v>
      </c>
      <c r="I49" s="20" t="s">
        <v>8</v>
      </c>
      <c r="J49" s="20" t="s">
        <v>8</v>
      </c>
      <c r="K49" s="20" t="s">
        <v>46</v>
      </c>
      <c r="L49" s="21" t="s">
        <v>8</v>
      </c>
      <c r="M49" s="21" t="s">
        <v>8</v>
      </c>
      <c r="N49" s="21" t="s">
        <v>56</v>
      </c>
      <c r="O49" s="21" t="s">
        <v>8</v>
      </c>
      <c r="P49" s="20" t="s">
        <v>8</v>
      </c>
      <c r="Q49" s="20" t="s">
        <v>8</v>
      </c>
      <c r="R49" s="20" t="s">
        <v>46</v>
      </c>
      <c r="S49" s="21" t="s">
        <v>8</v>
      </c>
      <c r="T49" s="20" t="s">
        <v>8</v>
      </c>
      <c r="U49" s="21" t="s">
        <v>8</v>
      </c>
      <c r="V49" s="21" t="s">
        <v>48</v>
      </c>
      <c r="W49" s="20" t="s">
        <v>48</v>
      </c>
      <c r="X49" s="20" t="s">
        <v>48</v>
      </c>
      <c r="Y49" s="20" t="s">
        <v>46</v>
      </c>
      <c r="Z49" s="10"/>
      <c r="AA49" s="10"/>
      <c r="AB49" s="10"/>
      <c r="AC49" s="8" t="s">
        <v>55</v>
      </c>
      <c r="AD49" s="8" t="s">
        <v>55</v>
      </c>
      <c r="AE49" s="21" t="s">
        <v>55</v>
      </c>
      <c r="AF49" s="21" t="s">
        <v>55</v>
      </c>
      <c r="AG49" s="8"/>
      <c r="AH49" s="8" t="s">
        <v>55</v>
      </c>
      <c r="AI49" s="8" t="s">
        <v>55</v>
      </c>
      <c r="AJ49" s="8"/>
      <c r="AK49" s="8" t="s">
        <v>55</v>
      </c>
      <c r="AL49" s="21" t="s">
        <v>55</v>
      </c>
      <c r="AM49" s="21" t="s">
        <v>55</v>
      </c>
      <c r="AN49" s="7" t="s">
        <v>55</v>
      </c>
      <c r="AO49" s="8"/>
      <c r="AP49" s="7" t="s">
        <v>55</v>
      </c>
      <c r="AQ49" s="7" t="s">
        <v>55</v>
      </c>
      <c r="AR49" s="21"/>
      <c r="AS49" s="20"/>
      <c r="AT49" s="21" t="s">
        <v>55</v>
      </c>
      <c r="AU49" s="7" t="s">
        <v>55</v>
      </c>
      <c r="AV49" s="8"/>
      <c r="AW49" s="8" t="s">
        <v>55</v>
      </c>
      <c r="AX49" s="8" t="s">
        <v>55</v>
      </c>
      <c r="AY49" s="10"/>
      <c r="AZ49" s="20" t="s">
        <v>55</v>
      </c>
      <c r="BA49" s="20" t="s">
        <v>55</v>
      </c>
      <c r="BB49" s="8" t="s">
        <v>55</v>
      </c>
      <c r="BC49" s="8" t="s">
        <v>55</v>
      </c>
      <c r="BD49" s="34" t="s">
        <v>164</v>
      </c>
      <c r="BE49" s="22">
        <f t="shared" si="28"/>
        <v>0</v>
      </c>
      <c r="BF49" s="22">
        <f t="shared" si="0"/>
        <v>0</v>
      </c>
      <c r="BG49" s="31">
        <f t="shared" si="1"/>
        <v>20</v>
      </c>
      <c r="BH49" s="22">
        <f t="shared" si="2"/>
        <v>20</v>
      </c>
      <c r="BI49" s="22">
        <f t="shared" si="3"/>
        <v>4</v>
      </c>
      <c r="BJ49" s="22">
        <f t="shared" si="4"/>
        <v>3</v>
      </c>
      <c r="BK49" s="22">
        <f t="shared" si="5"/>
        <v>7</v>
      </c>
      <c r="BL49" s="22">
        <f t="shared" si="6"/>
        <v>0</v>
      </c>
      <c r="BM49" s="22">
        <f t="shared" si="7"/>
        <v>0</v>
      </c>
      <c r="BN49" s="22">
        <f t="shared" si="8"/>
        <v>0</v>
      </c>
      <c r="BO49" s="22">
        <f t="shared" si="9"/>
        <v>4</v>
      </c>
      <c r="BP49" s="22">
        <f t="shared" si="9"/>
        <v>3</v>
      </c>
      <c r="BQ49" s="22">
        <f t="shared" si="9"/>
        <v>7</v>
      </c>
      <c r="BR49" s="22">
        <f t="shared" si="10"/>
        <v>0</v>
      </c>
      <c r="BS49" s="22">
        <f t="shared" si="11"/>
        <v>0</v>
      </c>
      <c r="BT49" s="22">
        <f t="shared" si="12"/>
        <v>0</v>
      </c>
      <c r="BU49" s="22">
        <f t="shared" si="13"/>
        <v>0</v>
      </c>
      <c r="BV49" s="22">
        <f t="shared" si="14"/>
        <v>0</v>
      </c>
      <c r="BW49" s="22">
        <f t="shared" si="15"/>
        <v>0</v>
      </c>
      <c r="BX49" s="22">
        <f t="shared" si="16"/>
        <v>0</v>
      </c>
      <c r="BY49" s="22">
        <f t="shared" si="17"/>
        <v>0</v>
      </c>
      <c r="BZ49" s="22">
        <f t="shared" si="18"/>
        <v>0</v>
      </c>
      <c r="CA49" s="22">
        <f t="shared" si="19"/>
        <v>0</v>
      </c>
      <c r="CB49" s="22">
        <f t="shared" si="20"/>
        <v>0</v>
      </c>
      <c r="CC49" s="22">
        <f t="shared" si="21"/>
        <v>0</v>
      </c>
      <c r="CD49" s="22">
        <f t="shared" si="22"/>
        <v>0</v>
      </c>
      <c r="CE49" s="22">
        <f t="shared" si="23"/>
        <v>0</v>
      </c>
      <c r="CF49" s="22">
        <f t="shared" si="24"/>
        <v>0</v>
      </c>
      <c r="CG49" s="22">
        <f t="shared" si="25"/>
        <v>0</v>
      </c>
      <c r="CH49" s="22">
        <f t="shared" si="26"/>
        <v>10</v>
      </c>
      <c r="CI49" s="34">
        <f t="shared" si="27"/>
        <v>10</v>
      </c>
      <c r="CJ49" s="24">
        <f t="shared" si="29"/>
        <v>2</v>
      </c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</row>
    <row r="50" spans="1:156" s="3" customFormat="1" ht="49.5" customHeight="1">
      <c r="A50" s="38"/>
      <c r="B50" s="22">
        <v>3</v>
      </c>
      <c r="C50" s="34" t="s">
        <v>166</v>
      </c>
      <c r="D50" s="20" t="s">
        <v>7</v>
      </c>
      <c r="E50" s="20" t="s">
        <v>7</v>
      </c>
      <c r="F50" s="20" t="s">
        <v>46</v>
      </c>
      <c r="G50" s="21" t="s">
        <v>7</v>
      </c>
      <c r="H50" s="21" t="s">
        <v>7</v>
      </c>
      <c r="I50" s="20" t="s">
        <v>7</v>
      </c>
      <c r="J50" s="20" t="s">
        <v>48</v>
      </c>
      <c r="K50" s="21" t="s">
        <v>46</v>
      </c>
      <c r="L50" s="21" t="s">
        <v>7</v>
      </c>
      <c r="M50" s="21" t="s">
        <v>7</v>
      </c>
      <c r="N50" s="21" t="s">
        <v>7</v>
      </c>
      <c r="O50" s="21" t="s">
        <v>48</v>
      </c>
      <c r="P50" s="20" t="s">
        <v>7</v>
      </c>
      <c r="Q50" s="20" t="s">
        <v>7</v>
      </c>
      <c r="R50" s="20" t="s">
        <v>7</v>
      </c>
      <c r="S50" s="21" t="s">
        <v>7</v>
      </c>
      <c r="T50" s="21" t="s">
        <v>7</v>
      </c>
      <c r="U50" s="21" t="s">
        <v>46</v>
      </c>
      <c r="V50" s="21" t="s">
        <v>7</v>
      </c>
      <c r="W50" s="20" t="s">
        <v>7</v>
      </c>
      <c r="X50" s="20" t="s">
        <v>48</v>
      </c>
      <c r="Y50" s="20" t="s">
        <v>48</v>
      </c>
      <c r="Z50" s="8" t="s">
        <v>53</v>
      </c>
      <c r="AA50" s="8" t="s">
        <v>53</v>
      </c>
      <c r="AB50" s="10"/>
      <c r="AC50" s="10"/>
      <c r="AD50" s="8" t="s">
        <v>53</v>
      </c>
      <c r="AE50" s="21" t="s">
        <v>53</v>
      </c>
      <c r="AF50" s="21"/>
      <c r="AG50" s="8" t="s">
        <v>53</v>
      </c>
      <c r="AH50" s="8" t="s">
        <v>53</v>
      </c>
      <c r="AI50" s="8"/>
      <c r="AJ50" s="7" t="s">
        <v>53</v>
      </c>
      <c r="AK50" s="7" t="s">
        <v>53</v>
      </c>
      <c r="AL50" s="20" t="s">
        <v>53</v>
      </c>
      <c r="AM50" s="21" t="s">
        <v>53</v>
      </c>
      <c r="AN50" s="8"/>
      <c r="AO50" s="7" t="s">
        <v>53</v>
      </c>
      <c r="AP50" s="7" t="s">
        <v>53</v>
      </c>
      <c r="AQ50" s="8"/>
      <c r="AR50" s="21" t="s">
        <v>53</v>
      </c>
      <c r="AS50" s="20" t="s">
        <v>53</v>
      </c>
      <c r="AT50" s="20" t="s">
        <v>7</v>
      </c>
      <c r="AU50" s="8" t="s">
        <v>53</v>
      </c>
      <c r="AV50" s="8"/>
      <c r="AW50" s="8" t="s">
        <v>53</v>
      </c>
      <c r="AX50" s="8" t="s">
        <v>53</v>
      </c>
      <c r="AY50" s="8" t="s">
        <v>53</v>
      </c>
      <c r="AZ50" s="21"/>
      <c r="BA50" s="21"/>
      <c r="BB50" s="8"/>
      <c r="BC50" s="7" t="s">
        <v>53</v>
      </c>
      <c r="BD50" s="34" t="s">
        <v>165</v>
      </c>
      <c r="BE50" s="22">
        <f t="shared" si="28"/>
        <v>0</v>
      </c>
      <c r="BF50" s="30">
        <f t="shared" si="0"/>
        <v>20</v>
      </c>
      <c r="BG50" s="22">
        <f t="shared" si="1"/>
        <v>0</v>
      </c>
      <c r="BH50" s="22">
        <f t="shared" si="2"/>
        <v>20</v>
      </c>
      <c r="BI50" s="22">
        <f t="shared" si="3"/>
        <v>3</v>
      </c>
      <c r="BJ50" s="22">
        <f t="shared" si="4"/>
        <v>4</v>
      </c>
      <c r="BK50" s="22">
        <f t="shared" si="5"/>
        <v>7</v>
      </c>
      <c r="BL50" s="22">
        <f t="shared" si="6"/>
        <v>0</v>
      </c>
      <c r="BM50" s="22">
        <f t="shared" si="7"/>
        <v>0</v>
      </c>
      <c r="BN50" s="22">
        <f t="shared" si="8"/>
        <v>0</v>
      </c>
      <c r="BO50" s="22">
        <f t="shared" si="9"/>
        <v>3</v>
      </c>
      <c r="BP50" s="22">
        <f t="shared" si="9"/>
        <v>4</v>
      </c>
      <c r="BQ50" s="22">
        <f t="shared" si="9"/>
        <v>7</v>
      </c>
      <c r="BR50" s="22">
        <f t="shared" si="10"/>
        <v>0</v>
      </c>
      <c r="BS50" s="22">
        <f t="shared" si="11"/>
        <v>0</v>
      </c>
      <c r="BT50" s="22">
        <f t="shared" si="12"/>
        <v>0</v>
      </c>
      <c r="BU50" s="22">
        <f t="shared" si="13"/>
        <v>0</v>
      </c>
      <c r="BV50" s="22">
        <f t="shared" si="14"/>
        <v>0</v>
      </c>
      <c r="BW50" s="22">
        <f t="shared" si="15"/>
        <v>0</v>
      </c>
      <c r="BX50" s="22">
        <f t="shared" si="16"/>
        <v>0</v>
      </c>
      <c r="BY50" s="22">
        <f t="shared" si="17"/>
        <v>0</v>
      </c>
      <c r="BZ50" s="22">
        <f t="shared" si="18"/>
        <v>0</v>
      </c>
      <c r="CA50" s="22">
        <f t="shared" si="19"/>
        <v>0</v>
      </c>
      <c r="CB50" s="22">
        <f t="shared" si="20"/>
        <v>0</v>
      </c>
      <c r="CC50" s="22">
        <f t="shared" si="21"/>
        <v>0</v>
      </c>
      <c r="CD50" s="22">
        <f t="shared" si="22"/>
        <v>0</v>
      </c>
      <c r="CE50" s="22">
        <f t="shared" si="23"/>
        <v>0</v>
      </c>
      <c r="CF50" s="22">
        <f t="shared" si="24"/>
        <v>0</v>
      </c>
      <c r="CG50" s="22">
        <f t="shared" si="25"/>
        <v>0</v>
      </c>
      <c r="CH50" s="22">
        <f t="shared" si="26"/>
        <v>10</v>
      </c>
      <c r="CI50" s="34">
        <f t="shared" si="27"/>
        <v>10</v>
      </c>
      <c r="CJ50" s="24">
        <f t="shared" si="29"/>
        <v>3</v>
      </c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</row>
    <row r="51" spans="1:156" s="3" customFormat="1" ht="49.5" customHeight="1">
      <c r="A51" s="38"/>
      <c r="B51" s="22">
        <v>4</v>
      </c>
      <c r="C51" s="34" t="s">
        <v>167</v>
      </c>
      <c r="D51" s="20" t="s">
        <v>7</v>
      </c>
      <c r="E51" s="20" t="s">
        <v>7</v>
      </c>
      <c r="F51" s="21" t="s">
        <v>46</v>
      </c>
      <c r="G51" s="21" t="s">
        <v>48</v>
      </c>
      <c r="H51" s="20" t="s">
        <v>51</v>
      </c>
      <c r="I51" s="21" t="s">
        <v>51</v>
      </c>
      <c r="J51" s="21" t="s">
        <v>51</v>
      </c>
      <c r="K51" s="21" t="s">
        <v>51</v>
      </c>
      <c r="L51" s="21" t="s">
        <v>46</v>
      </c>
      <c r="M51" s="20" t="s">
        <v>51</v>
      </c>
      <c r="N51" s="21" t="s">
        <v>51</v>
      </c>
      <c r="O51" s="21" t="s">
        <v>7</v>
      </c>
      <c r="P51" s="21" t="s">
        <v>48</v>
      </c>
      <c r="Q51" s="21" t="s">
        <v>48</v>
      </c>
      <c r="R51" s="21" t="s">
        <v>46</v>
      </c>
      <c r="S51" s="21" t="s">
        <v>7</v>
      </c>
      <c r="T51" s="21" t="s">
        <v>7</v>
      </c>
      <c r="U51" s="21" t="s">
        <v>7</v>
      </c>
      <c r="V51" s="21" t="s">
        <v>7</v>
      </c>
      <c r="W51" s="21" t="s">
        <v>48</v>
      </c>
      <c r="X51" s="21" t="s">
        <v>7</v>
      </c>
      <c r="Y51" s="21" t="s">
        <v>7</v>
      </c>
      <c r="Z51" s="8" t="s">
        <v>53</v>
      </c>
      <c r="AA51" s="8" t="s">
        <v>53</v>
      </c>
      <c r="AB51" s="10"/>
      <c r="AC51" s="7" t="s">
        <v>53</v>
      </c>
      <c r="AD51" s="7" t="s">
        <v>53</v>
      </c>
      <c r="AE51" s="21" t="s">
        <v>53</v>
      </c>
      <c r="AF51" s="20" t="s">
        <v>53</v>
      </c>
      <c r="AG51" s="7" t="s">
        <v>53</v>
      </c>
      <c r="AH51" s="8"/>
      <c r="AI51" s="10"/>
      <c r="AJ51" s="10"/>
      <c r="AK51" s="8"/>
      <c r="AL51" s="21" t="s">
        <v>53</v>
      </c>
      <c r="AM51" s="20" t="s">
        <v>53</v>
      </c>
      <c r="AN51" s="8" t="s">
        <v>53</v>
      </c>
      <c r="AO51" s="8"/>
      <c r="AP51" s="8" t="s">
        <v>53</v>
      </c>
      <c r="AQ51" s="8" t="s">
        <v>53</v>
      </c>
      <c r="AR51" s="20"/>
      <c r="AS51" s="21" t="s">
        <v>50</v>
      </c>
      <c r="AT51" s="21" t="s">
        <v>50</v>
      </c>
      <c r="AU51" s="8"/>
      <c r="AV51" s="8" t="s">
        <v>50</v>
      </c>
      <c r="AW51" s="7" t="s">
        <v>50</v>
      </c>
      <c r="AX51" s="8" t="s">
        <v>50</v>
      </c>
      <c r="AY51" s="8" t="s">
        <v>50</v>
      </c>
      <c r="AZ51" s="21"/>
      <c r="BA51" s="21"/>
      <c r="BB51" s="8" t="s">
        <v>50</v>
      </c>
      <c r="BC51" s="8" t="s">
        <v>50</v>
      </c>
      <c r="BD51" s="34" t="s">
        <v>176</v>
      </c>
      <c r="BE51" s="22">
        <f>COUNTIF(Z51:BC51,"D*")</f>
        <v>8</v>
      </c>
      <c r="BF51" s="22">
        <f>COUNTIF(Z51:BC51,"E*")</f>
        <v>12</v>
      </c>
      <c r="BG51" s="22">
        <f>COUNTIF(Z51:BC51,"N*")</f>
        <v>0</v>
      </c>
      <c r="BH51" s="22">
        <f>SUM(BE51:BG51)</f>
        <v>20</v>
      </c>
      <c r="BI51" s="22">
        <f>COUNTIF(D51:Y51, "例")</f>
        <v>3</v>
      </c>
      <c r="BJ51" s="22">
        <f>COUNTIF(D51:Y51, "*息*")</f>
        <v>4</v>
      </c>
      <c r="BK51" s="22">
        <f>BI51+BJ51</f>
        <v>7</v>
      </c>
      <c r="BL51" s="22">
        <f>COUNTIF(Z51:AE51, "例")</f>
        <v>0</v>
      </c>
      <c r="BM51" s="22">
        <f>COUNTIF(Z51:AE51,"*息*")</f>
        <v>0</v>
      </c>
      <c r="BN51" s="22">
        <f>BL51+BM51</f>
        <v>0</v>
      </c>
      <c r="BO51" s="22">
        <f>BI51+BL51</f>
        <v>3</v>
      </c>
      <c r="BP51" s="22">
        <f>BJ51+BM51</f>
        <v>4</v>
      </c>
      <c r="BQ51" s="22">
        <f>BK51+BN51</f>
        <v>7</v>
      </c>
      <c r="BR51" s="22">
        <f>COUNTIF(AF51:BC51,"例")</f>
        <v>0</v>
      </c>
      <c r="BS51" s="22">
        <f>COUNTIF(AF51:BC51,"*息*")</f>
        <v>0</v>
      </c>
      <c r="BT51" s="22">
        <f>SUM(BR51+BS51)</f>
        <v>0</v>
      </c>
      <c r="BU51" s="22">
        <f>COUNTIF(Z51:BC51,"*國*")</f>
        <v>0</v>
      </c>
      <c r="BV51" s="22">
        <f>COUNTIF(Z51:BC51,"例")</f>
        <v>0</v>
      </c>
      <c r="BW51" s="22">
        <f>COUNTIF(Z51:BC51,"息")</f>
        <v>0</v>
      </c>
      <c r="BX51" s="22">
        <f>COUNTIF(Z51:BC51,"國")</f>
        <v>0</v>
      </c>
      <c r="BY51" s="22">
        <f>COUNTIF(Z51:BC51,"補*")</f>
        <v>0</v>
      </c>
      <c r="BZ51" s="22">
        <f>COUNTIF(Z51:BC51,"特*")</f>
        <v>0</v>
      </c>
      <c r="CA51" s="22">
        <f>COUNTIF(Z51:BC51,"喪*")</f>
        <v>0</v>
      </c>
      <c r="CB51" s="22">
        <f>COUNTIF(Z51:BC51,"病")</f>
        <v>0</v>
      </c>
      <c r="CC51" s="22">
        <f>COUNTIF(Z51:BC51,"空")</f>
        <v>0</v>
      </c>
      <c r="CD51" s="22">
        <f>COUNTIF(Z51:BC51,"婚*")</f>
        <v>0</v>
      </c>
      <c r="CE51" s="22">
        <f>COUNTIF(Z51:BC51,"產檢")</f>
        <v>0</v>
      </c>
      <c r="CF51" s="22">
        <f>COUNTIF(Z51:BC51,"產*")</f>
        <v>0</v>
      </c>
      <c r="CG51" s="22">
        <f>COUNTIF(Z51:BC51,"公")</f>
        <v>0</v>
      </c>
      <c r="CH51" s="22">
        <f>COUNTIF(Z51:BC51, "")</f>
        <v>10</v>
      </c>
      <c r="CI51" s="34">
        <f>SUM(BV51:CH51)</f>
        <v>10</v>
      </c>
      <c r="CJ51" s="24">
        <f>COUNTIF(AE51:AF51,"")+COUNTIF(AL51:AM51,"")+COUNTIF(AR51:AT51,"")+ COUNTIF(AZ51:BA51,"")+ COUNTIF(AE51:AF51,"例")+COUNTIF(AL51:AM51,"例")+COUNTIF(AR51:AT51,"例")+COUNTIF(AZ51:BA51,"例")+ COUNTIF(AE51:AF51,"息")+COUNTIF(AL51:AM51,"息")+COUNTIF(AR51:AT51,"息")+ COUNTIF(AZ51:BA51,"息")+COUNTIF(AE51:AF51,"特")+COUNTIF(AL51:AM51,"特")+COUNTIF(AR51:AT51,"特")+COUNTIF(AZ51:BA51,"特")+COUNTIF(AE51:AF51,"補*")+COUNTIF(AL51:AM51,"補*")+COUNTIF(AR51:AT51,"補*")+COUNTIF(AZ51:BA51,"補*")+COUNTIF(AE51:AF51,"喪")+COUNTIF(AL51:AM51,"喪")+COUNTIF(AR51:AT51,"喪")+COUNTIF(AZ51:BA51,"喪")</f>
        <v>3</v>
      </c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</row>
    <row r="52" spans="1:156" s="3" customFormat="1" ht="49.5" customHeight="1">
      <c r="A52" s="38"/>
      <c r="B52" s="22">
        <v>5</v>
      </c>
      <c r="C52" s="34" t="s">
        <v>168</v>
      </c>
      <c r="D52" s="20" t="s">
        <v>8</v>
      </c>
      <c r="E52" s="20" t="s">
        <v>46</v>
      </c>
      <c r="F52" s="20" t="s">
        <v>8</v>
      </c>
      <c r="G52" s="20" t="s">
        <v>8</v>
      </c>
      <c r="H52" s="20" t="s">
        <v>48</v>
      </c>
      <c r="I52" s="20" t="s">
        <v>8</v>
      </c>
      <c r="J52" s="20" t="s">
        <v>8</v>
      </c>
      <c r="K52" s="20" t="s">
        <v>8</v>
      </c>
      <c r="L52" s="21" t="s">
        <v>48</v>
      </c>
      <c r="M52" s="20" t="s">
        <v>46</v>
      </c>
      <c r="N52" s="21" t="s">
        <v>8</v>
      </c>
      <c r="O52" s="21" t="s">
        <v>8</v>
      </c>
      <c r="P52" s="20" t="s">
        <v>48</v>
      </c>
      <c r="Q52" s="20" t="s">
        <v>8</v>
      </c>
      <c r="R52" s="20" t="s">
        <v>8</v>
      </c>
      <c r="S52" s="20" t="s">
        <v>8</v>
      </c>
      <c r="T52" s="20" t="s">
        <v>46</v>
      </c>
      <c r="U52" s="21" t="s">
        <v>48</v>
      </c>
      <c r="V52" s="21" t="s">
        <v>8</v>
      </c>
      <c r="W52" s="20" t="s">
        <v>8</v>
      </c>
      <c r="X52" s="20" t="s">
        <v>8</v>
      </c>
      <c r="Y52" s="20" t="s">
        <v>8</v>
      </c>
      <c r="Z52" s="7" t="s">
        <v>55</v>
      </c>
      <c r="AA52" s="7"/>
      <c r="AB52" s="7" t="s">
        <v>55</v>
      </c>
      <c r="AC52" s="8" t="s">
        <v>55</v>
      </c>
      <c r="AD52" s="8" t="s">
        <v>55</v>
      </c>
      <c r="AE52" s="20"/>
      <c r="AF52" s="20" t="s">
        <v>55</v>
      </c>
      <c r="AG52" s="7" t="s">
        <v>55</v>
      </c>
      <c r="AH52" s="8"/>
      <c r="AI52" s="8" t="s">
        <v>55</v>
      </c>
      <c r="AJ52" s="7" t="s">
        <v>55</v>
      </c>
      <c r="AK52" s="7" t="s">
        <v>55</v>
      </c>
      <c r="AL52" s="20" t="s">
        <v>55</v>
      </c>
      <c r="AM52" s="21"/>
      <c r="AN52" s="7" t="s">
        <v>55</v>
      </c>
      <c r="AO52" s="7" t="s">
        <v>55</v>
      </c>
      <c r="AP52" s="8" t="s">
        <v>55</v>
      </c>
      <c r="AQ52" s="7"/>
      <c r="AR52" s="21" t="s">
        <v>55</v>
      </c>
      <c r="AS52" s="21" t="s">
        <v>55</v>
      </c>
      <c r="AT52" s="20" t="s">
        <v>55</v>
      </c>
      <c r="AU52" s="7"/>
      <c r="AV52" s="8"/>
      <c r="AW52" s="7"/>
      <c r="AX52" s="8" t="s">
        <v>55</v>
      </c>
      <c r="AY52" s="8" t="s">
        <v>8</v>
      </c>
      <c r="AZ52" s="21" t="s">
        <v>55</v>
      </c>
      <c r="BA52" s="21" t="s">
        <v>55</v>
      </c>
      <c r="BB52" s="7"/>
      <c r="BC52" s="7"/>
      <c r="BD52" s="34" t="s">
        <v>167</v>
      </c>
      <c r="BE52" s="22">
        <f t="shared" si="28"/>
        <v>0</v>
      </c>
      <c r="BF52" s="22">
        <f t="shared" si="0"/>
        <v>0</v>
      </c>
      <c r="BG52" s="31">
        <f t="shared" si="1"/>
        <v>20</v>
      </c>
      <c r="BH52" s="22">
        <f t="shared" si="2"/>
        <v>20</v>
      </c>
      <c r="BI52" s="22">
        <f t="shared" si="3"/>
        <v>3</v>
      </c>
      <c r="BJ52" s="22">
        <f t="shared" si="4"/>
        <v>4</v>
      </c>
      <c r="BK52" s="22">
        <f t="shared" si="5"/>
        <v>7</v>
      </c>
      <c r="BL52" s="22">
        <f t="shared" si="6"/>
        <v>0</v>
      </c>
      <c r="BM52" s="22">
        <f t="shared" si="7"/>
        <v>0</v>
      </c>
      <c r="BN52" s="22">
        <f t="shared" si="8"/>
        <v>0</v>
      </c>
      <c r="BO52" s="22">
        <f t="shared" si="9"/>
        <v>3</v>
      </c>
      <c r="BP52" s="22">
        <f t="shared" si="9"/>
        <v>4</v>
      </c>
      <c r="BQ52" s="22">
        <f t="shared" si="9"/>
        <v>7</v>
      </c>
      <c r="BR52" s="22">
        <f t="shared" si="10"/>
        <v>0</v>
      </c>
      <c r="BS52" s="22">
        <f t="shared" si="11"/>
        <v>0</v>
      </c>
      <c r="BT52" s="22">
        <f t="shared" si="12"/>
        <v>0</v>
      </c>
      <c r="BU52" s="22">
        <f t="shared" si="13"/>
        <v>0</v>
      </c>
      <c r="BV52" s="22">
        <f t="shared" si="14"/>
        <v>0</v>
      </c>
      <c r="BW52" s="22">
        <f t="shared" si="15"/>
        <v>0</v>
      </c>
      <c r="BX52" s="22">
        <f t="shared" si="16"/>
        <v>0</v>
      </c>
      <c r="BY52" s="22">
        <f t="shared" si="17"/>
        <v>0</v>
      </c>
      <c r="BZ52" s="22">
        <f t="shared" si="18"/>
        <v>0</v>
      </c>
      <c r="CA52" s="22">
        <f t="shared" si="19"/>
        <v>0</v>
      </c>
      <c r="CB52" s="22">
        <f t="shared" si="20"/>
        <v>0</v>
      </c>
      <c r="CC52" s="22">
        <f t="shared" si="21"/>
        <v>0</v>
      </c>
      <c r="CD52" s="22">
        <f t="shared" si="22"/>
        <v>0</v>
      </c>
      <c r="CE52" s="22">
        <f t="shared" si="23"/>
        <v>0</v>
      </c>
      <c r="CF52" s="22">
        <f t="shared" si="24"/>
        <v>0</v>
      </c>
      <c r="CG52" s="22">
        <f t="shared" si="25"/>
        <v>0</v>
      </c>
      <c r="CH52" s="22">
        <f t="shared" si="26"/>
        <v>10</v>
      </c>
      <c r="CI52" s="34">
        <f t="shared" si="27"/>
        <v>10</v>
      </c>
      <c r="CJ52" s="24">
        <f t="shared" si="29"/>
        <v>2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</row>
    <row r="53" spans="1:156" s="3" customFormat="1" ht="49.5" customHeight="1">
      <c r="A53" s="38"/>
      <c r="B53" s="22">
        <v>6</v>
      </c>
      <c r="C53" s="34" t="s">
        <v>169</v>
      </c>
      <c r="D53" s="20" t="s">
        <v>8</v>
      </c>
      <c r="E53" s="20" t="s">
        <v>46</v>
      </c>
      <c r="F53" s="20" t="s">
        <v>8</v>
      </c>
      <c r="G53" s="20" t="s">
        <v>8</v>
      </c>
      <c r="H53" s="20" t="s">
        <v>8</v>
      </c>
      <c r="I53" s="20" t="s">
        <v>8</v>
      </c>
      <c r="J53" s="20" t="s">
        <v>49</v>
      </c>
      <c r="K53" s="20" t="s">
        <v>8</v>
      </c>
      <c r="L53" s="21" t="s">
        <v>8</v>
      </c>
      <c r="M53" s="20" t="s">
        <v>8</v>
      </c>
      <c r="N53" s="21" t="s">
        <v>8</v>
      </c>
      <c r="O53" s="21" t="s">
        <v>46</v>
      </c>
      <c r="P53" s="21" t="s">
        <v>56</v>
      </c>
      <c r="Q53" s="21" t="s">
        <v>48</v>
      </c>
      <c r="R53" s="21" t="s">
        <v>8</v>
      </c>
      <c r="S53" s="21" t="s">
        <v>8</v>
      </c>
      <c r="T53" s="20" t="s">
        <v>8</v>
      </c>
      <c r="U53" s="21" t="s">
        <v>8</v>
      </c>
      <c r="V53" s="21" t="s">
        <v>46</v>
      </c>
      <c r="W53" s="21" t="s">
        <v>48</v>
      </c>
      <c r="X53" s="21" t="s">
        <v>48</v>
      </c>
      <c r="Y53" s="21" t="s">
        <v>46</v>
      </c>
      <c r="Z53" s="10"/>
      <c r="AA53" s="10"/>
      <c r="AB53" s="8" t="s">
        <v>53</v>
      </c>
      <c r="AC53" s="7" t="s">
        <v>53</v>
      </c>
      <c r="AD53" s="7" t="s">
        <v>53</v>
      </c>
      <c r="AE53" s="21" t="s">
        <v>53</v>
      </c>
      <c r="AF53" s="21" t="s">
        <v>53</v>
      </c>
      <c r="AG53" s="7"/>
      <c r="AH53" s="7" t="s">
        <v>53</v>
      </c>
      <c r="AI53" s="7" t="s">
        <v>53</v>
      </c>
      <c r="AJ53" s="8" t="s">
        <v>53</v>
      </c>
      <c r="AK53" s="7" t="s">
        <v>53</v>
      </c>
      <c r="AL53" s="20"/>
      <c r="AM53" s="20"/>
      <c r="AN53" s="8"/>
      <c r="AO53" s="8" t="s">
        <v>53</v>
      </c>
      <c r="AP53" s="8" t="s">
        <v>53</v>
      </c>
      <c r="AQ53" s="7"/>
      <c r="AR53" s="20" t="s">
        <v>7</v>
      </c>
      <c r="AS53" s="20" t="s">
        <v>53</v>
      </c>
      <c r="AT53" s="20" t="s">
        <v>53</v>
      </c>
      <c r="AU53" s="8" t="s">
        <v>53</v>
      </c>
      <c r="AV53" s="8"/>
      <c r="AW53" s="7" t="s">
        <v>53</v>
      </c>
      <c r="AX53" s="8" t="s">
        <v>53</v>
      </c>
      <c r="AY53" s="8"/>
      <c r="AZ53" s="21" t="s">
        <v>53</v>
      </c>
      <c r="BA53" s="21" t="s">
        <v>53</v>
      </c>
      <c r="BB53" s="8" t="s">
        <v>53</v>
      </c>
      <c r="BC53" s="8"/>
      <c r="BD53" s="35" t="s">
        <v>168</v>
      </c>
      <c r="BE53" s="22">
        <f t="shared" si="28"/>
        <v>0</v>
      </c>
      <c r="BF53" s="30">
        <f t="shared" si="0"/>
        <v>20</v>
      </c>
      <c r="BG53" s="22">
        <f t="shared" si="1"/>
        <v>0</v>
      </c>
      <c r="BH53" s="22">
        <f t="shared" si="2"/>
        <v>20</v>
      </c>
      <c r="BI53" s="22">
        <f t="shared" si="3"/>
        <v>4</v>
      </c>
      <c r="BJ53" s="22">
        <f t="shared" si="4"/>
        <v>3</v>
      </c>
      <c r="BK53" s="22">
        <f t="shared" si="5"/>
        <v>7</v>
      </c>
      <c r="BL53" s="22">
        <f t="shared" si="6"/>
        <v>0</v>
      </c>
      <c r="BM53" s="22">
        <f t="shared" si="7"/>
        <v>0</v>
      </c>
      <c r="BN53" s="22">
        <f t="shared" si="8"/>
        <v>0</v>
      </c>
      <c r="BO53" s="22">
        <f t="shared" si="9"/>
        <v>4</v>
      </c>
      <c r="BP53" s="22">
        <f t="shared" si="9"/>
        <v>3</v>
      </c>
      <c r="BQ53" s="22">
        <f t="shared" si="9"/>
        <v>7</v>
      </c>
      <c r="BR53" s="22">
        <f t="shared" si="10"/>
        <v>0</v>
      </c>
      <c r="BS53" s="22">
        <f t="shared" si="11"/>
        <v>0</v>
      </c>
      <c r="BT53" s="22">
        <f t="shared" si="12"/>
        <v>0</v>
      </c>
      <c r="BU53" s="22">
        <f t="shared" si="13"/>
        <v>0</v>
      </c>
      <c r="BV53" s="22">
        <f t="shared" si="14"/>
        <v>0</v>
      </c>
      <c r="BW53" s="22">
        <f t="shared" si="15"/>
        <v>0</v>
      </c>
      <c r="BX53" s="22">
        <f t="shared" si="16"/>
        <v>0</v>
      </c>
      <c r="BY53" s="22">
        <f t="shared" si="17"/>
        <v>0</v>
      </c>
      <c r="BZ53" s="22">
        <f t="shared" si="18"/>
        <v>0</v>
      </c>
      <c r="CA53" s="22">
        <f t="shared" si="19"/>
        <v>0</v>
      </c>
      <c r="CB53" s="22">
        <f t="shared" si="20"/>
        <v>0</v>
      </c>
      <c r="CC53" s="22">
        <f t="shared" si="21"/>
        <v>0</v>
      </c>
      <c r="CD53" s="22">
        <f t="shared" si="22"/>
        <v>0</v>
      </c>
      <c r="CE53" s="22">
        <f t="shared" si="23"/>
        <v>0</v>
      </c>
      <c r="CF53" s="22">
        <f t="shared" si="24"/>
        <v>0</v>
      </c>
      <c r="CG53" s="22">
        <f t="shared" si="25"/>
        <v>0</v>
      </c>
      <c r="CH53" s="22">
        <f t="shared" si="26"/>
        <v>10</v>
      </c>
      <c r="CI53" s="34">
        <f t="shared" si="27"/>
        <v>10</v>
      </c>
      <c r="CJ53" s="24">
        <f t="shared" si="29"/>
        <v>2</v>
      </c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</row>
    <row r="54" spans="1:156" s="3" customFormat="1" ht="49.5" customHeight="1">
      <c r="A54" s="38"/>
      <c r="B54" s="22">
        <v>7</v>
      </c>
      <c r="C54" s="34" t="s">
        <v>170</v>
      </c>
      <c r="D54" s="20" t="s">
        <v>8</v>
      </c>
      <c r="E54" s="20" t="s">
        <v>8</v>
      </c>
      <c r="F54" s="21" t="s">
        <v>8</v>
      </c>
      <c r="G54" s="21" t="s">
        <v>46</v>
      </c>
      <c r="H54" s="20" t="s">
        <v>8</v>
      </c>
      <c r="I54" s="20" t="s">
        <v>8</v>
      </c>
      <c r="J54" s="20" t="s">
        <v>46</v>
      </c>
      <c r="K54" s="21" t="s">
        <v>8</v>
      </c>
      <c r="L54" s="20" t="s">
        <v>8</v>
      </c>
      <c r="M54" s="21" t="s">
        <v>8</v>
      </c>
      <c r="N54" s="21" t="s">
        <v>8</v>
      </c>
      <c r="O54" s="20" t="s">
        <v>8</v>
      </c>
      <c r="P54" s="20" t="s">
        <v>8</v>
      </c>
      <c r="Q54" s="20" t="s">
        <v>48</v>
      </c>
      <c r="R54" s="20" t="s">
        <v>46</v>
      </c>
      <c r="S54" s="21" t="s">
        <v>48</v>
      </c>
      <c r="T54" s="21" t="s">
        <v>48</v>
      </c>
      <c r="U54" s="21" t="s">
        <v>8</v>
      </c>
      <c r="V54" s="20" t="s">
        <v>8</v>
      </c>
      <c r="W54" s="20" t="s">
        <v>48</v>
      </c>
      <c r="X54" s="20" t="s">
        <v>56</v>
      </c>
      <c r="Y54" s="20" t="s">
        <v>8</v>
      </c>
      <c r="Z54" s="7"/>
      <c r="AA54" s="8" t="s">
        <v>55</v>
      </c>
      <c r="AB54" s="8" t="s">
        <v>55</v>
      </c>
      <c r="AC54" s="8"/>
      <c r="AD54" s="7" t="s">
        <v>55</v>
      </c>
      <c r="AE54" s="21" t="s">
        <v>55</v>
      </c>
      <c r="AF54" s="20" t="s">
        <v>55</v>
      </c>
      <c r="AG54" s="7" t="s">
        <v>55</v>
      </c>
      <c r="AH54" s="7"/>
      <c r="AI54" s="7" t="s">
        <v>55</v>
      </c>
      <c r="AJ54" s="8" t="s">
        <v>55</v>
      </c>
      <c r="AK54" s="10"/>
      <c r="AL54" s="20"/>
      <c r="AM54" s="20"/>
      <c r="AN54" s="10"/>
      <c r="AO54" s="7" t="s">
        <v>55</v>
      </c>
      <c r="AP54" s="8" t="s">
        <v>55</v>
      </c>
      <c r="AQ54" s="8" t="s">
        <v>55</v>
      </c>
      <c r="AR54" s="21" t="s">
        <v>55</v>
      </c>
      <c r="AS54" s="20"/>
      <c r="AT54" s="20" t="s">
        <v>55</v>
      </c>
      <c r="AU54" s="8" t="s">
        <v>55</v>
      </c>
      <c r="AV54" s="7" t="s">
        <v>55</v>
      </c>
      <c r="AW54" s="7" t="s">
        <v>55</v>
      </c>
      <c r="AX54" s="8"/>
      <c r="AY54" s="8" t="s">
        <v>55</v>
      </c>
      <c r="AZ54" s="20" t="s">
        <v>55</v>
      </c>
      <c r="BA54" s="20" t="s">
        <v>55</v>
      </c>
      <c r="BB54" s="7" t="s">
        <v>55</v>
      </c>
      <c r="BC54" s="7"/>
      <c r="BD54" s="34" t="s">
        <v>171</v>
      </c>
      <c r="BE54" s="22">
        <f t="shared" si="28"/>
        <v>0</v>
      </c>
      <c r="BF54" s="22">
        <f t="shared" si="0"/>
        <v>0</v>
      </c>
      <c r="BG54" s="31">
        <f t="shared" si="1"/>
        <v>20</v>
      </c>
      <c r="BH54" s="22">
        <f t="shared" si="2"/>
        <v>20</v>
      </c>
      <c r="BI54" s="22">
        <f t="shared" si="3"/>
        <v>3</v>
      </c>
      <c r="BJ54" s="22">
        <f t="shared" si="4"/>
        <v>4</v>
      </c>
      <c r="BK54" s="22">
        <f t="shared" si="5"/>
        <v>7</v>
      </c>
      <c r="BL54" s="22">
        <f t="shared" si="6"/>
        <v>0</v>
      </c>
      <c r="BM54" s="22">
        <f t="shared" si="7"/>
        <v>0</v>
      </c>
      <c r="BN54" s="22">
        <f t="shared" si="8"/>
        <v>0</v>
      </c>
      <c r="BO54" s="22">
        <f t="shared" si="9"/>
        <v>3</v>
      </c>
      <c r="BP54" s="22">
        <f t="shared" si="9"/>
        <v>4</v>
      </c>
      <c r="BQ54" s="22">
        <f t="shared" si="9"/>
        <v>7</v>
      </c>
      <c r="BR54" s="22">
        <f t="shared" si="10"/>
        <v>0</v>
      </c>
      <c r="BS54" s="22">
        <f t="shared" si="11"/>
        <v>0</v>
      </c>
      <c r="BT54" s="22">
        <f t="shared" si="12"/>
        <v>0</v>
      </c>
      <c r="BU54" s="22">
        <f t="shared" si="13"/>
        <v>0</v>
      </c>
      <c r="BV54" s="22">
        <f t="shared" si="14"/>
        <v>0</v>
      </c>
      <c r="BW54" s="22">
        <f t="shared" si="15"/>
        <v>0</v>
      </c>
      <c r="BX54" s="22">
        <f t="shared" si="16"/>
        <v>0</v>
      </c>
      <c r="BY54" s="22">
        <f t="shared" si="17"/>
        <v>0</v>
      </c>
      <c r="BZ54" s="22">
        <f t="shared" si="18"/>
        <v>0</v>
      </c>
      <c r="CA54" s="22">
        <f t="shared" si="19"/>
        <v>0</v>
      </c>
      <c r="CB54" s="22">
        <f t="shared" si="20"/>
        <v>0</v>
      </c>
      <c r="CC54" s="22">
        <f t="shared" si="21"/>
        <v>0</v>
      </c>
      <c r="CD54" s="22">
        <f t="shared" si="22"/>
        <v>0</v>
      </c>
      <c r="CE54" s="22">
        <f t="shared" si="23"/>
        <v>0</v>
      </c>
      <c r="CF54" s="22">
        <f t="shared" si="24"/>
        <v>0</v>
      </c>
      <c r="CG54" s="22">
        <f t="shared" si="25"/>
        <v>0</v>
      </c>
      <c r="CH54" s="22">
        <f t="shared" si="26"/>
        <v>10</v>
      </c>
      <c r="CI54" s="34">
        <f t="shared" si="27"/>
        <v>10</v>
      </c>
      <c r="CJ54" s="24">
        <f t="shared" si="29"/>
        <v>3</v>
      </c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</row>
    <row r="55" spans="1:156" s="3" customFormat="1" ht="49.5" customHeight="1">
      <c r="A55" s="38"/>
      <c r="B55" s="22">
        <v>8</v>
      </c>
      <c r="C55" s="34" t="s">
        <v>171</v>
      </c>
      <c r="D55" s="20" t="s">
        <v>46</v>
      </c>
      <c r="E55" s="20" t="s">
        <v>48</v>
      </c>
      <c r="F55" s="20" t="s">
        <v>7</v>
      </c>
      <c r="G55" s="20" t="s">
        <v>7</v>
      </c>
      <c r="H55" s="20" t="s">
        <v>7</v>
      </c>
      <c r="I55" s="20" t="s">
        <v>48</v>
      </c>
      <c r="J55" s="20" t="s">
        <v>7</v>
      </c>
      <c r="K55" s="20" t="s">
        <v>7</v>
      </c>
      <c r="L55" s="21" t="s">
        <v>7</v>
      </c>
      <c r="M55" s="20" t="s">
        <v>46</v>
      </c>
      <c r="N55" s="21" t="s">
        <v>7</v>
      </c>
      <c r="O55" s="21" t="s">
        <v>7</v>
      </c>
      <c r="P55" s="20" t="s">
        <v>7</v>
      </c>
      <c r="Q55" s="20" t="s">
        <v>48</v>
      </c>
      <c r="R55" s="20" t="s">
        <v>46</v>
      </c>
      <c r="S55" s="20" t="s">
        <v>56</v>
      </c>
      <c r="T55" s="20" t="s">
        <v>7</v>
      </c>
      <c r="U55" s="21" t="s">
        <v>7</v>
      </c>
      <c r="V55" s="21" t="s">
        <v>48</v>
      </c>
      <c r="W55" s="20" t="s">
        <v>7</v>
      </c>
      <c r="X55" s="20" t="s">
        <v>7</v>
      </c>
      <c r="Y55" s="20" t="s">
        <v>7</v>
      </c>
      <c r="Z55" s="8" t="s">
        <v>53</v>
      </c>
      <c r="AA55" s="7" t="s">
        <v>53</v>
      </c>
      <c r="AB55" s="7"/>
      <c r="AC55" s="7" t="s">
        <v>53</v>
      </c>
      <c r="AD55" s="7" t="s">
        <v>53</v>
      </c>
      <c r="AE55" s="21" t="s">
        <v>53</v>
      </c>
      <c r="AF55" s="20"/>
      <c r="AG55" s="10"/>
      <c r="AH55" s="7"/>
      <c r="AI55" s="7" t="s">
        <v>53</v>
      </c>
      <c r="AJ55" s="8" t="s">
        <v>53</v>
      </c>
      <c r="AK55" s="10"/>
      <c r="AL55" s="21" t="s">
        <v>53</v>
      </c>
      <c r="AM55" s="20" t="s">
        <v>53</v>
      </c>
      <c r="AN55" s="7" t="s">
        <v>53</v>
      </c>
      <c r="AO55" s="7" t="s">
        <v>53</v>
      </c>
      <c r="AP55" s="8"/>
      <c r="AQ55" s="8" t="s">
        <v>53</v>
      </c>
      <c r="AR55" s="21" t="s">
        <v>53</v>
      </c>
      <c r="AS55" s="20" t="s">
        <v>53</v>
      </c>
      <c r="AT55" s="21" t="s">
        <v>53</v>
      </c>
      <c r="AU55" s="8"/>
      <c r="AV55" s="8" t="s">
        <v>53</v>
      </c>
      <c r="AW55" s="7" t="s">
        <v>53</v>
      </c>
      <c r="AX55" s="8" t="s">
        <v>53</v>
      </c>
      <c r="AY55" s="8"/>
      <c r="AZ55" s="21"/>
      <c r="BA55" s="20"/>
      <c r="BB55" s="7" t="s">
        <v>53</v>
      </c>
      <c r="BC55" s="7" t="s">
        <v>53</v>
      </c>
      <c r="BD55" s="34" t="s">
        <v>166</v>
      </c>
      <c r="BE55" s="22">
        <f>COUNTIF(Z55:BC55,"D*")</f>
        <v>0</v>
      </c>
      <c r="BF55" s="30">
        <f>COUNTIF(Z55:BC55,"E*")</f>
        <v>20</v>
      </c>
      <c r="BG55" s="22">
        <f>COUNTIF(Z55:BC55,"N*")</f>
        <v>0</v>
      </c>
      <c r="BH55" s="22">
        <f>SUM(BE55:BG55)</f>
        <v>20</v>
      </c>
      <c r="BI55" s="22">
        <f>COUNTIF(D55:Y55, "例")</f>
        <v>3</v>
      </c>
      <c r="BJ55" s="22">
        <f>COUNTIF(D55:Y55, "*息*")</f>
        <v>4</v>
      </c>
      <c r="BK55" s="22">
        <f>BI55+BJ55</f>
        <v>7</v>
      </c>
      <c r="BL55" s="22">
        <f>COUNTIF(Z55:AE55, "例")</f>
        <v>0</v>
      </c>
      <c r="BM55" s="22">
        <f>COUNTIF(Z55:AE55,"*息*")</f>
        <v>0</v>
      </c>
      <c r="BN55" s="22">
        <f>BL55+BM55</f>
        <v>0</v>
      </c>
      <c r="BO55" s="22">
        <f>BI55+BL55</f>
        <v>3</v>
      </c>
      <c r="BP55" s="22">
        <f>BJ55+BM55</f>
        <v>4</v>
      </c>
      <c r="BQ55" s="22">
        <f>BK55+BN55</f>
        <v>7</v>
      </c>
      <c r="BR55" s="22">
        <f>COUNTIF(AF55:BC55,"例")</f>
        <v>0</v>
      </c>
      <c r="BS55" s="22">
        <f>COUNTIF(AF55:BC55,"*息*")</f>
        <v>0</v>
      </c>
      <c r="BT55" s="22">
        <f>SUM(BR55+BS55)</f>
        <v>0</v>
      </c>
      <c r="BU55" s="22">
        <f>COUNTIF(Z55:BC55,"*國*")</f>
        <v>0</v>
      </c>
      <c r="BV55" s="22">
        <f>COUNTIF(Z55:BC55,"例")</f>
        <v>0</v>
      </c>
      <c r="BW55" s="22">
        <f>COUNTIF(Z55:BC55,"息")</f>
        <v>0</v>
      </c>
      <c r="BX55" s="22">
        <f>COUNTIF(Z55:BC55,"國")</f>
        <v>0</v>
      </c>
      <c r="BY55" s="22">
        <f>COUNTIF(Z55:BC55,"補*")</f>
        <v>0</v>
      </c>
      <c r="BZ55" s="22">
        <f>COUNTIF(Z55:BC55,"特*")</f>
        <v>0</v>
      </c>
      <c r="CA55" s="22">
        <f>COUNTIF(Z55:BC55,"喪*")</f>
        <v>0</v>
      </c>
      <c r="CB55" s="22">
        <f>COUNTIF(Z55:BC55,"病")</f>
        <v>0</v>
      </c>
      <c r="CC55" s="22">
        <f>COUNTIF(Z55:BC55,"空")</f>
        <v>0</v>
      </c>
      <c r="CD55" s="22">
        <f>COUNTIF(Z55:BC55,"婚*")</f>
        <v>0</v>
      </c>
      <c r="CE55" s="22">
        <f>COUNTIF(Z55:BC55,"產檢")</f>
        <v>0</v>
      </c>
      <c r="CF55" s="22">
        <f>COUNTIF(Z55:BC55,"產*")</f>
        <v>0</v>
      </c>
      <c r="CG55" s="22">
        <f>COUNTIF(Z55:BC55,"公")</f>
        <v>0</v>
      </c>
      <c r="CH55" s="22">
        <f>COUNTIF(Z55:BC55, "")</f>
        <v>10</v>
      </c>
      <c r="CI55" s="34">
        <f>SUM(BV55:CH55)</f>
        <v>10</v>
      </c>
      <c r="CJ55" s="24">
        <f>COUNTIF(AE55:AF55,"")+COUNTIF(AL55:AM55,"")+COUNTIF(AR55:AT55,"")+ COUNTIF(AZ55:BA55,"")+ COUNTIF(AE55:AF55,"例")+COUNTIF(AL55:AM55,"例")+COUNTIF(AR55:AT55,"例")+COUNTIF(AZ55:BA55,"例")+ COUNTIF(AE55:AF55,"息")+COUNTIF(AL55:AM55,"息")+COUNTIF(AR55:AT55,"息")+ COUNTIF(AZ55:BA55,"息")+COUNTIF(AE55:AF55,"特")+COUNTIF(AL55:AM55,"特")+COUNTIF(AR55:AT55,"特")+COUNTIF(AZ55:BA55,"特")+COUNTIF(AE55:AF55,"補*")+COUNTIF(AL55:AM55,"補*")+COUNTIF(AR55:AT55,"補*")+COUNTIF(AZ55:BA55,"補*")+COUNTIF(AE55:AF55,"喪")+COUNTIF(AL55:AM55,"喪")+COUNTIF(AR55:AT55,"喪")+COUNTIF(AZ55:BA55,"喪")</f>
        <v>3</v>
      </c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</row>
    <row r="56" spans="1:156" s="3" customFormat="1" ht="49.5" customHeight="1">
      <c r="A56" s="38"/>
      <c r="B56" s="22">
        <v>9</v>
      </c>
      <c r="C56" s="34" t="s">
        <v>172</v>
      </c>
      <c r="D56" s="20" t="s">
        <v>51</v>
      </c>
      <c r="E56" s="20" t="s">
        <v>51</v>
      </c>
      <c r="F56" s="20" t="s">
        <v>46</v>
      </c>
      <c r="G56" s="21" t="s">
        <v>7</v>
      </c>
      <c r="H56" s="21" t="s">
        <v>7</v>
      </c>
      <c r="I56" s="21" t="s">
        <v>64</v>
      </c>
      <c r="J56" s="21" t="s">
        <v>64</v>
      </c>
      <c r="K56" s="21" t="s">
        <v>46</v>
      </c>
      <c r="L56" s="21" t="s">
        <v>51</v>
      </c>
      <c r="M56" s="21" t="s">
        <v>51</v>
      </c>
      <c r="N56" s="21" t="s">
        <v>51</v>
      </c>
      <c r="O56" s="21" t="s">
        <v>51</v>
      </c>
      <c r="P56" s="21" t="s">
        <v>48</v>
      </c>
      <c r="Q56" s="21" t="s">
        <v>51</v>
      </c>
      <c r="R56" s="21" t="s">
        <v>51</v>
      </c>
      <c r="S56" s="21" t="s">
        <v>51</v>
      </c>
      <c r="T56" s="20" t="s">
        <v>46</v>
      </c>
      <c r="U56" s="21" t="s">
        <v>51</v>
      </c>
      <c r="V56" s="21" t="s">
        <v>51</v>
      </c>
      <c r="W56" s="21" t="s">
        <v>48</v>
      </c>
      <c r="X56" s="21" t="s">
        <v>48</v>
      </c>
      <c r="Y56" s="21" t="s">
        <v>46</v>
      </c>
      <c r="Z56" s="10"/>
      <c r="AA56" s="10"/>
      <c r="AB56" s="8" t="s">
        <v>50</v>
      </c>
      <c r="AC56" s="8" t="s">
        <v>50</v>
      </c>
      <c r="AD56" s="8" t="s">
        <v>50</v>
      </c>
      <c r="AE56" s="20" t="s">
        <v>51</v>
      </c>
      <c r="AF56" s="21" t="s">
        <v>50</v>
      </c>
      <c r="AG56" s="8"/>
      <c r="AH56" s="8" t="s">
        <v>50</v>
      </c>
      <c r="AI56" s="7" t="s">
        <v>51</v>
      </c>
      <c r="AJ56" s="7" t="s">
        <v>50</v>
      </c>
      <c r="AK56" s="7" t="s">
        <v>50</v>
      </c>
      <c r="AL56" s="20"/>
      <c r="AM56" s="20"/>
      <c r="AN56" s="7" t="s">
        <v>55</v>
      </c>
      <c r="AO56" s="8" t="s">
        <v>55</v>
      </c>
      <c r="AP56" s="7"/>
      <c r="AQ56" s="8"/>
      <c r="AR56" s="21" t="s">
        <v>55</v>
      </c>
      <c r="AS56" s="21" t="s">
        <v>55</v>
      </c>
      <c r="AT56" s="21"/>
      <c r="AU56" s="8"/>
      <c r="AV56" s="8" t="s">
        <v>55</v>
      </c>
      <c r="AW56" s="8" t="s">
        <v>55</v>
      </c>
      <c r="AX56" s="8" t="s">
        <v>55</v>
      </c>
      <c r="AY56" s="8" t="s">
        <v>55</v>
      </c>
      <c r="AZ56" s="21"/>
      <c r="BA56" s="21" t="s">
        <v>55</v>
      </c>
      <c r="BB56" s="8" t="s">
        <v>55</v>
      </c>
      <c r="BC56" s="7" t="s">
        <v>55</v>
      </c>
      <c r="BD56" s="34" t="s">
        <v>172</v>
      </c>
      <c r="BE56" s="22">
        <f t="shared" si="28"/>
        <v>9</v>
      </c>
      <c r="BF56" s="22">
        <f t="shared" si="0"/>
        <v>0</v>
      </c>
      <c r="BG56" s="22">
        <f t="shared" si="1"/>
        <v>11</v>
      </c>
      <c r="BH56" s="22">
        <f t="shared" si="2"/>
        <v>20</v>
      </c>
      <c r="BI56" s="22">
        <f t="shared" si="3"/>
        <v>4</v>
      </c>
      <c r="BJ56" s="22">
        <f t="shared" si="4"/>
        <v>3</v>
      </c>
      <c r="BK56" s="22">
        <f t="shared" si="5"/>
        <v>7</v>
      </c>
      <c r="BL56" s="22">
        <f t="shared" si="6"/>
        <v>0</v>
      </c>
      <c r="BM56" s="22">
        <f t="shared" si="7"/>
        <v>0</v>
      </c>
      <c r="BN56" s="22">
        <f t="shared" si="8"/>
        <v>0</v>
      </c>
      <c r="BO56" s="22">
        <f t="shared" si="9"/>
        <v>4</v>
      </c>
      <c r="BP56" s="22">
        <f t="shared" si="9"/>
        <v>3</v>
      </c>
      <c r="BQ56" s="22">
        <f t="shared" si="9"/>
        <v>7</v>
      </c>
      <c r="BR56" s="22">
        <f t="shared" si="10"/>
        <v>0</v>
      </c>
      <c r="BS56" s="22">
        <f t="shared" si="11"/>
        <v>0</v>
      </c>
      <c r="BT56" s="22">
        <f t="shared" si="12"/>
        <v>0</v>
      </c>
      <c r="BU56" s="22">
        <f t="shared" si="13"/>
        <v>0</v>
      </c>
      <c r="BV56" s="22">
        <f t="shared" si="14"/>
        <v>0</v>
      </c>
      <c r="BW56" s="22">
        <f t="shared" si="15"/>
        <v>0</v>
      </c>
      <c r="BX56" s="22">
        <f t="shared" si="16"/>
        <v>0</v>
      </c>
      <c r="BY56" s="22">
        <f t="shared" si="17"/>
        <v>0</v>
      </c>
      <c r="BZ56" s="22">
        <f t="shared" si="18"/>
        <v>0</v>
      </c>
      <c r="CA56" s="22">
        <f t="shared" si="19"/>
        <v>0</v>
      </c>
      <c r="CB56" s="22">
        <f t="shared" si="20"/>
        <v>0</v>
      </c>
      <c r="CC56" s="22">
        <f t="shared" si="21"/>
        <v>0</v>
      </c>
      <c r="CD56" s="22">
        <f t="shared" si="22"/>
        <v>0</v>
      </c>
      <c r="CE56" s="22">
        <f t="shared" si="23"/>
        <v>0</v>
      </c>
      <c r="CF56" s="22">
        <f t="shared" si="24"/>
        <v>0</v>
      </c>
      <c r="CG56" s="22">
        <f t="shared" si="25"/>
        <v>0</v>
      </c>
      <c r="CH56" s="22">
        <f t="shared" si="26"/>
        <v>10</v>
      </c>
      <c r="CI56" s="34">
        <f t="shared" si="27"/>
        <v>10</v>
      </c>
      <c r="CJ56" s="24">
        <f t="shared" si="29"/>
        <v>4</v>
      </c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</row>
    <row r="57" spans="1:156" s="3" customFormat="1" ht="49.5" customHeight="1">
      <c r="A57" s="38"/>
      <c r="B57" s="22">
        <v>10</v>
      </c>
      <c r="C57" s="34" t="s">
        <v>71</v>
      </c>
      <c r="D57" s="20" t="s">
        <v>7</v>
      </c>
      <c r="E57" s="20" t="s">
        <v>7</v>
      </c>
      <c r="F57" s="21" t="s">
        <v>46</v>
      </c>
      <c r="G57" s="21" t="s">
        <v>7</v>
      </c>
      <c r="H57" s="21" t="s">
        <v>7</v>
      </c>
      <c r="I57" s="21" t="s">
        <v>7</v>
      </c>
      <c r="J57" s="21" t="s">
        <v>56</v>
      </c>
      <c r="K57" s="20" t="s">
        <v>7</v>
      </c>
      <c r="L57" s="21" t="s">
        <v>7</v>
      </c>
      <c r="M57" s="21" t="s">
        <v>7</v>
      </c>
      <c r="N57" s="21" t="s">
        <v>7</v>
      </c>
      <c r="O57" s="21" t="s">
        <v>46</v>
      </c>
      <c r="P57" s="21" t="s">
        <v>48</v>
      </c>
      <c r="Q57" s="21" t="s">
        <v>7</v>
      </c>
      <c r="R57" s="21" t="s">
        <v>7</v>
      </c>
      <c r="S57" s="21" t="s">
        <v>7</v>
      </c>
      <c r="T57" s="20" t="s">
        <v>7</v>
      </c>
      <c r="U57" s="21" t="s">
        <v>46</v>
      </c>
      <c r="V57" s="21" t="s">
        <v>48</v>
      </c>
      <c r="W57" s="21" t="s">
        <v>48</v>
      </c>
      <c r="X57" s="21" t="s">
        <v>46</v>
      </c>
      <c r="Y57" s="21" t="s">
        <v>7</v>
      </c>
      <c r="Z57" s="7" t="s">
        <v>53</v>
      </c>
      <c r="AA57" s="7" t="s">
        <v>53</v>
      </c>
      <c r="AB57" s="7" t="s">
        <v>53</v>
      </c>
      <c r="AC57" s="8"/>
      <c r="AD57" s="10"/>
      <c r="AE57" s="20" t="s">
        <v>55</v>
      </c>
      <c r="AF57" s="21" t="s">
        <v>55</v>
      </c>
      <c r="AG57" s="8" t="s">
        <v>55</v>
      </c>
      <c r="AH57" s="7" t="s">
        <v>55</v>
      </c>
      <c r="AI57" s="7"/>
      <c r="AJ57" s="7" t="s">
        <v>55</v>
      </c>
      <c r="AK57" s="8" t="s">
        <v>55</v>
      </c>
      <c r="AL57" s="21" t="s">
        <v>55</v>
      </c>
      <c r="AM57" s="20" t="s">
        <v>55</v>
      </c>
      <c r="AN57" s="8" t="s">
        <v>55</v>
      </c>
      <c r="AO57" s="7"/>
      <c r="AP57" s="8"/>
      <c r="AQ57" s="8" t="s">
        <v>55</v>
      </c>
      <c r="AR57" s="21" t="s">
        <v>55</v>
      </c>
      <c r="AS57" s="21" t="s">
        <v>55</v>
      </c>
      <c r="AT57" s="21"/>
      <c r="AU57" s="7" t="s">
        <v>55</v>
      </c>
      <c r="AV57" s="8" t="s">
        <v>55</v>
      </c>
      <c r="AW57" s="8" t="s">
        <v>55</v>
      </c>
      <c r="AX57" s="8" t="s">
        <v>55</v>
      </c>
      <c r="AY57" s="10"/>
      <c r="AZ57" s="20"/>
      <c r="BA57" s="20"/>
      <c r="BB57" s="7"/>
      <c r="BC57" s="7" t="s">
        <v>55</v>
      </c>
      <c r="BD57" s="34" t="s">
        <v>71</v>
      </c>
      <c r="BE57" s="22">
        <f t="shared" si="28"/>
        <v>0</v>
      </c>
      <c r="BF57" s="22">
        <f t="shared" si="0"/>
        <v>3</v>
      </c>
      <c r="BG57" s="31">
        <f t="shared" si="1"/>
        <v>17</v>
      </c>
      <c r="BH57" s="22">
        <f t="shared" si="2"/>
        <v>20</v>
      </c>
      <c r="BI57" s="22">
        <f t="shared" si="3"/>
        <v>4</v>
      </c>
      <c r="BJ57" s="22">
        <f t="shared" si="4"/>
        <v>3</v>
      </c>
      <c r="BK57" s="22">
        <f t="shared" si="5"/>
        <v>7</v>
      </c>
      <c r="BL57" s="22">
        <f t="shared" si="6"/>
        <v>0</v>
      </c>
      <c r="BM57" s="22">
        <f t="shared" si="7"/>
        <v>0</v>
      </c>
      <c r="BN57" s="22">
        <f t="shared" si="8"/>
        <v>0</v>
      </c>
      <c r="BO57" s="22">
        <f t="shared" si="9"/>
        <v>4</v>
      </c>
      <c r="BP57" s="22">
        <f t="shared" si="9"/>
        <v>3</v>
      </c>
      <c r="BQ57" s="22">
        <f t="shared" si="9"/>
        <v>7</v>
      </c>
      <c r="BR57" s="22">
        <f t="shared" si="10"/>
        <v>0</v>
      </c>
      <c r="BS57" s="22">
        <f t="shared" si="11"/>
        <v>0</v>
      </c>
      <c r="BT57" s="22">
        <f t="shared" si="12"/>
        <v>0</v>
      </c>
      <c r="BU57" s="22">
        <f t="shared" si="13"/>
        <v>0</v>
      </c>
      <c r="BV57" s="22">
        <f t="shared" si="14"/>
        <v>0</v>
      </c>
      <c r="BW57" s="22">
        <f t="shared" si="15"/>
        <v>0</v>
      </c>
      <c r="BX57" s="22">
        <f t="shared" si="16"/>
        <v>0</v>
      </c>
      <c r="BY57" s="22">
        <f t="shared" si="17"/>
        <v>0</v>
      </c>
      <c r="BZ57" s="22">
        <f t="shared" si="18"/>
        <v>0</v>
      </c>
      <c r="CA57" s="22">
        <f t="shared" si="19"/>
        <v>0</v>
      </c>
      <c r="CB57" s="22">
        <f t="shared" si="20"/>
        <v>0</v>
      </c>
      <c r="CC57" s="22">
        <f t="shared" si="21"/>
        <v>0</v>
      </c>
      <c r="CD57" s="22">
        <f t="shared" si="22"/>
        <v>0</v>
      </c>
      <c r="CE57" s="22">
        <f t="shared" si="23"/>
        <v>0</v>
      </c>
      <c r="CF57" s="22">
        <f t="shared" si="24"/>
        <v>0</v>
      </c>
      <c r="CG57" s="22">
        <f t="shared" si="25"/>
        <v>0</v>
      </c>
      <c r="CH57" s="22">
        <f t="shared" si="26"/>
        <v>10</v>
      </c>
      <c r="CI57" s="34">
        <f t="shared" si="27"/>
        <v>10</v>
      </c>
      <c r="CJ57" s="24">
        <f t="shared" si="29"/>
        <v>3</v>
      </c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</row>
    <row r="58" spans="1:156" s="3" customFormat="1" ht="49" customHeight="1">
      <c r="A58" s="38"/>
      <c r="B58" s="22">
        <v>11</v>
      </c>
      <c r="C58" s="34" t="s">
        <v>173</v>
      </c>
      <c r="D58" s="20" t="s">
        <v>51</v>
      </c>
      <c r="E58" s="20" t="s">
        <v>46</v>
      </c>
      <c r="F58" s="21" t="s">
        <v>48</v>
      </c>
      <c r="G58" s="21" t="s">
        <v>48</v>
      </c>
      <c r="H58" s="20" t="s">
        <v>51</v>
      </c>
      <c r="I58" s="21" t="s">
        <v>51</v>
      </c>
      <c r="J58" s="21" t="s">
        <v>48</v>
      </c>
      <c r="K58" s="21" t="s">
        <v>51</v>
      </c>
      <c r="L58" s="21" t="s">
        <v>51</v>
      </c>
      <c r="M58" s="20" t="s">
        <v>46</v>
      </c>
      <c r="N58" s="21" t="s">
        <v>51</v>
      </c>
      <c r="O58" s="21" t="s">
        <v>51</v>
      </c>
      <c r="P58" s="21" t="s">
        <v>51</v>
      </c>
      <c r="Q58" s="21" t="s">
        <v>51</v>
      </c>
      <c r="R58" s="21" t="s">
        <v>46</v>
      </c>
      <c r="S58" s="21" t="s">
        <v>51</v>
      </c>
      <c r="T58" s="21" t="s">
        <v>51</v>
      </c>
      <c r="U58" s="21" t="s">
        <v>48</v>
      </c>
      <c r="V58" s="21" t="s">
        <v>51</v>
      </c>
      <c r="W58" s="21" t="s">
        <v>51</v>
      </c>
      <c r="X58" s="21" t="s">
        <v>51</v>
      </c>
      <c r="Y58" s="21" t="s">
        <v>51</v>
      </c>
      <c r="Z58" s="8" t="s">
        <v>50</v>
      </c>
      <c r="AA58" s="7"/>
      <c r="AB58" s="7"/>
      <c r="AC58" s="8" t="s">
        <v>50</v>
      </c>
      <c r="AD58" s="8" t="s">
        <v>50</v>
      </c>
      <c r="AE58" s="21" t="s">
        <v>50</v>
      </c>
      <c r="AF58" s="21" t="s">
        <v>50</v>
      </c>
      <c r="AG58" s="8"/>
      <c r="AH58" s="8" t="s">
        <v>50</v>
      </c>
      <c r="AI58" s="7" t="s">
        <v>50</v>
      </c>
      <c r="AJ58" s="8" t="s">
        <v>50</v>
      </c>
      <c r="AK58" s="8" t="s">
        <v>50</v>
      </c>
      <c r="AL58" s="20"/>
      <c r="AM58" s="20"/>
      <c r="AN58" s="7"/>
      <c r="AO58" s="7" t="s">
        <v>50</v>
      </c>
      <c r="AP58" s="8" t="s">
        <v>50</v>
      </c>
      <c r="AQ58" s="8"/>
      <c r="AR58" s="20"/>
      <c r="AS58" s="21" t="s">
        <v>50</v>
      </c>
      <c r="AT58" s="21" t="s">
        <v>50</v>
      </c>
      <c r="AU58" s="8" t="s">
        <v>50</v>
      </c>
      <c r="AV58" s="8"/>
      <c r="AW58" s="7" t="s">
        <v>50</v>
      </c>
      <c r="AX58" s="8" t="s">
        <v>50</v>
      </c>
      <c r="AY58" s="8" t="s">
        <v>50</v>
      </c>
      <c r="AZ58" s="21" t="s">
        <v>50</v>
      </c>
      <c r="BA58" s="21" t="s">
        <v>50</v>
      </c>
      <c r="BB58" s="8"/>
      <c r="BC58" s="7" t="s">
        <v>50</v>
      </c>
      <c r="BD58" s="36" t="s">
        <v>173</v>
      </c>
      <c r="BE58" s="22">
        <f t="shared" si="28"/>
        <v>20</v>
      </c>
      <c r="BF58" s="22">
        <f t="shared" si="0"/>
        <v>0</v>
      </c>
      <c r="BG58" s="22">
        <f t="shared" si="1"/>
        <v>0</v>
      </c>
      <c r="BH58" s="22">
        <f t="shared" si="2"/>
        <v>20</v>
      </c>
      <c r="BI58" s="22">
        <f t="shared" si="3"/>
        <v>3</v>
      </c>
      <c r="BJ58" s="22">
        <f t="shared" si="4"/>
        <v>4</v>
      </c>
      <c r="BK58" s="22">
        <f t="shared" si="5"/>
        <v>7</v>
      </c>
      <c r="BL58" s="22">
        <f t="shared" si="6"/>
        <v>0</v>
      </c>
      <c r="BM58" s="22">
        <f t="shared" si="7"/>
        <v>0</v>
      </c>
      <c r="BN58" s="22">
        <f t="shared" si="8"/>
        <v>0</v>
      </c>
      <c r="BO58" s="22">
        <f t="shared" si="9"/>
        <v>3</v>
      </c>
      <c r="BP58" s="22">
        <f t="shared" si="9"/>
        <v>4</v>
      </c>
      <c r="BQ58" s="22">
        <f t="shared" si="9"/>
        <v>7</v>
      </c>
      <c r="BR58" s="22">
        <f t="shared" si="10"/>
        <v>0</v>
      </c>
      <c r="BS58" s="22">
        <f t="shared" si="11"/>
        <v>0</v>
      </c>
      <c r="BT58" s="22">
        <f t="shared" si="12"/>
        <v>0</v>
      </c>
      <c r="BU58" s="22">
        <f t="shared" si="13"/>
        <v>0</v>
      </c>
      <c r="BV58" s="22">
        <f t="shared" si="14"/>
        <v>0</v>
      </c>
      <c r="BW58" s="22">
        <f t="shared" si="15"/>
        <v>0</v>
      </c>
      <c r="BX58" s="22">
        <f t="shared" si="16"/>
        <v>0</v>
      </c>
      <c r="BY58" s="22">
        <f t="shared" si="17"/>
        <v>0</v>
      </c>
      <c r="BZ58" s="22">
        <f t="shared" si="18"/>
        <v>0</v>
      </c>
      <c r="CA58" s="22">
        <f t="shared" si="19"/>
        <v>0</v>
      </c>
      <c r="CB58" s="22">
        <f t="shared" si="20"/>
        <v>0</v>
      </c>
      <c r="CC58" s="22">
        <f t="shared" si="21"/>
        <v>0</v>
      </c>
      <c r="CD58" s="22">
        <f t="shared" si="22"/>
        <v>0</v>
      </c>
      <c r="CE58" s="22">
        <f t="shared" si="23"/>
        <v>0</v>
      </c>
      <c r="CF58" s="22">
        <f t="shared" si="24"/>
        <v>0</v>
      </c>
      <c r="CG58" s="22">
        <f t="shared" si="25"/>
        <v>0</v>
      </c>
      <c r="CH58" s="22">
        <f t="shared" si="26"/>
        <v>10</v>
      </c>
      <c r="CI58" s="34">
        <f t="shared" si="27"/>
        <v>10</v>
      </c>
      <c r="CJ58" s="24">
        <f t="shared" si="29"/>
        <v>3</v>
      </c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</row>
    <row r="59" spans="1:156" s="3" customFormat="1" ht="52.5" customHeight="1">
      <c r="A59" s="38"/>
      <c r="B59" s="22">
        <v>12</v>
      </c>
      <c r="C59" s="34" t="s">
        <v>174</v>
      </c>
      <c r="D59" s="20" t="s">
        <v>51</v>
      </c>
      <c r="E59" s="20" t="s">
        <v>51</v>
      </c>
      <c r="F59" s="20" t="s">
        <v>51</v>
      </c>
      <c r="G59" s="20" t="s">
        <v>51</v>
      </c>
      <c r="H59" s="20" t="s">
        <v>46</v>
      </c>
      <c r="I59" s="20" t="s">
        <v>48</v>
      </c>
      <c r="J59" s="20" t="s">
        <v>48</v>
      </c>
      <c r="K59" s="20" t="s">
        <v>46</v>
      </c>
      <c r="L59" s="21" t="s">
        <v>7</v>
      </c>
      <c r="M59" s="20" t="s">
        <v>7</v>
      </c>
      <c r="N59" s="21" t="s">
        <v>7</v>
      </c>
      <c r="O59" s="21" t="s">
        <v>48</v>
      </c>
      <c r="P59" s="21" t="s">
        <v>56</v>
      </c>
      <c r="Q59" s="21" t="s">
        <v>7</v>
      </c>
      <c r="R59" s="21" t="s">
        <v>7</v>
      </c>
      <c r="S59" s="20" t="s">
        <v>46</v>
      </c>
      <c r="T59" s="20" t="s">
        <v>7</v>
      </c>
      <c r="U59" s="21" t="s">
        <v>7</v>
      </c>
      <c r="V59" s="21" t="s">
        <v>7</v>
      </c>
      <c r="W59" s="21" t="s">
        <v>7</v>
      </c>
      <c r="X59" s="21" t="s">
        <v>48</v>
      </c>
      <c r="Y59" s="21" t="s">
        <v>7</v>
      </c>
      <c r="Z59" s="7" t="s">
        <v>53</v>
      </c>
      <c r="AA59" s="7" t="s">
        <v>53</v>
      </c>
      <c r="AB59" s="10"/>
      <c r="AC59" s="10"/>
      <c r="AD59" s="10"/>
      <c r="AE59" s="20"/>
      <c r="AF59" s="20"/>
      <c r="AG59" s="10"/>
      <c r="AH59" s="10"/>
      <c r="AI59" s="8" t="s">
        <v>50</v>
      </c>
      <c r="AJ59" s="7" t="s">
        <v>50</v>
      </c>
      <c r="AK59" s="7"/>
      <c r="AL59" s="20" t="s">
        <v>50</v>
      </c>
      <c r="AM59" s="21" t="s">
        <v>50</v>
      </c>
      <c r="AN59" s="7" t="s">
        <v>50</v>
      </c>
      <c r="AO59" s="7"/>
      <c r="AP59" s="8"/>
      <c r="AQ59" s="8" t="s">
        <v>51</v>
      </c>
      <c r="AR59" s="21" t="s">
        <v>51</v>
      </c>
      <c r="AS59" s="21" t="s">
        <v>50</v>
      </c>
      <c r="AT59" s="20" t="s">
        <v>50</v>
      </c>
      <c r="AU59" s="7"/>
      <c r="AV59" s="8" t="s">
        <v>51</v>
      </c>
      <c r="AW59" s="8" t="s">
        <v>51</v>
      </c>
      <c r="AX59" s="8" t="s">
        <v>51</v>
      </c>
      <c r="AY59" s="8"/>
      <c r="AZ59" s="21" t="s">
        <v>50</v>
      </c>
      <c r="BA59" s="21" t="s">
        <v>50</v>
      </c>
      <c r="BB59" s="8" t="s">
        <v>50</v>
      </c>
      <c r="BC59" s="8" t="s">
        <v>50</v>
      </c>
      <c r="BD59" s="34" t="s">
        <v>169</v>
      </c>
      <c r="BE59" s="22">
        <f>COUNTIF(Z59:BC59,"D*")</f>
        <v>16</v>
      </c>
      <c r="BF59" s="22">
        <f>COUNTIF(Z59:BC59,"E*")</f>
        <v>2</v>
      </c>
      <c r="BG59" s="22">
        <f>COUNTIF(Z59:BC59,"N*")</f>
        <v>0</v>
      </c>
      <c r="BH59" s="22">
        <f>SUM(BE59:BG59)</f>
        <v>18</v>
      </c>
      <c r="BI59" s="22">
        <f>COUNTIF(D59:Y59, "例")</f>
        <v>3</v>
      </c>
      <c r="BJ59" s="22">
        <f>COUNTIF(D59:Y59, "*息*")</f>
        <v>4</v>
      </c>
      <c r="BK59" s="22">
        <f>BI59+BJ59</f>
        <v>7</v>
      </c>
      <c r="BL59" s="22">
        <f>COUNTIF(Z59:AE59, "例")</f>
        <v>0</v>
      </c>
      <c r="BM59" s="22">
        <f>COUNTIF(Z59:AE59,"*息*")</f>
        <v>0</v>
      </c>
      <c r="BN59" s="22">
        <f>BL59+BM59</f>
        <v>0</v>
      </c>
      <c r="BO59" s="22">
        <f>BI59+BL59</f>
        <v>3</v>
      </c>
      <c r="BP59" s="22">
        <f>BJ59+BM59</f>
        <v>4</v>
      </c>
      <c r="BQ59" s="22">
        <f>BK59+BN59</f>
        <v>7</v>
      </c>
      <c r="BR59" s="22">
        <f>COUNTIF(AF59:BC59,"例")</f>
        <v>0</v>
      </c>
      <c r="BS59" s="22">
        <f>COUNTIF(AF59:BC59,"*息*")</f>
        <v>0</v>
      </c>
      <c r="BT59" s="22">
        <f>SUM(BR59+BS59)</f>
        <v>0</v>
      </c>
      <c r="BU59" s="22">
        <f>COUNTIF(Z59:BC59,"*國*")</f>
        <v>0</v>
      </c>
      <c r="BV59" s="22">
        <f>COUNTIF(Z59:BC59,"例")</f>
        <v>0</v>
      </c>
      <c r="BW59" s="22">
        <f>COUNTIF(Z59:BC59,"息")</f>
        <v>0</v>
      </c>
      <c r="BX59" s="22">
        <f>COUNTIF(Z59:BC59,"國")</f>
        <v>0</v>
      </c>
      <c r="BY59" s="22">
        <f>COUNTIF(Z59:BC59,"補*")</f>
        <v>0</v>
      </c>
      <c r="BZ59" s="22">
        <f>COUNTIF(Z59:BC59,"特*")</f>
        <v>0</v>
      </c>
      <c r="CA59" s="22">
        <f>COUNTIF(Z59:BC59,"喪*")</f>
        <v>0</v>
      </c>
      <c r="CB59" s="22">
        <f>COUNTIF(Z59:BC59,"病")</f>
        <v>0</v>
      </c>
      <c r="CC59" s="22">
        <f>COUNTIF(Z59:BC59,"空")</f>
        <v>0</v>
      </c>
      <c r="CD59" s="22">
        <f>COUNTIF(Z59:BC59,"婚*")</f>
        <v>0</v>
      </c>
      <c r="CE59" s="22">
        <f>COUNTIF(Z59:BC59,"產檢")</f>
        <v>0</v>
      </c>
      <c r="CF59" s="22">
        <f>COUNTIF(Z59:BC59,"產*")</f>
        <v>0</v>
      </c>
      <c r="CG59" s="22">
        <f>COUNTIF(Z59:BC59,"公")</f>
        <v>0</v>
      </c>
      <c r="CH59" s="22">
        <f>COUNTIF(Z59:BC59, "")</f>
        <v>12</v>
      </c>
      <c r="CI59" s="34">
        <f>SUM(BV59:CH59)</f>
        <v>12</v>
      </c>
      <c r="CJ59" s="24">
        <f>COUNTIF(AE59:AF59,"")+COUNTIF(AL59:AM59,"")+COUNTIF(AR59:AT59,"")+ COUNTIF(AZ59:BA59,"")+ COUNTIF(AE59:AF59,"例")+COUNTIF(AL59:AM59,"例")+COUNTIF(AR59:AT59,"例")+COUNTIF(AZ59:BA59,"例")+ COUNTIF(AE59:AF59,"息")+COUNTIF(AL59:AM59,"息")+COUNTIF(AR59:AT59,"息")+ COUNTIF(AZ59:BA59,"息")+COUNTIF(AE59:AF59,"特")+COUNTIF(AL59:AM59,"特")+COUNTIF(AR59:AT59,"特")+COUNTIF(AZ59:BA59,"特")+COUNTIF(AE59:AF59,"補*")+COUNTIF(AL59:AM59,"補*")+COUNTIF(AR59:AT59,"補*")+COUNTIF(AZ59:BA59,"補*")+COUNTIF(AE59:AF59,"喪")+COUNTIF(AL59:AM59,"喪")+COUNTIF(AR59:AT59,"喪")+COUNTIF(AZ59:BA59,"喪")</f>
        <v>2</v>
      </c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</row>
    <row r="60" spans="1:156" s="3" customFormat="1" ht="49.5" customHeight="1">
      <c r="A60" s="38"/>
      <c r="B60" s="22">
        <v>13</v>
      </c>
      <c r="C60" s="34" t="s">
        <v>175</v>
      </c>
      <c r="D60" s="20" t="s">
        <v>46</v>
      </c>
      <c r="E60" s="20" t="s">
        <v>48</v>
      </c>
      <c r="F60" s="20" t="s">
        <v>7</v>
      </c>
      <c r="G60" s="21" t="s">
        <v>7</v>
      </c>
      <c r="H60" s="21" t="s">
        <v>7</v>
      </c>
      <c r="I60" s="21" t="s">
        <v>48</v>
      </c>
      <c r="J60" s="20" t="s">
        <v>7</v>
      </c>
      <c r="K60" s="20" t="s">
        <v>7</v>
      </c>
      <c r="L60" s="21" t="s">
        <v>46</v>
      </c>
      <c r="M60" s="20" t="s">
        <v>51</v>
      </c>
      <c r="N60" s="21" t="s">
        <v>51</v>
      </c>
      <c r="O60" s="21" t="s">
        <v>51</v>
      </c>
      <c r="P60" s="20" t="s">
        <v>51</v>
      </c>
      <c r="Q60" s="20" t="s">
        <v>48</v>
      </c>
      <c r="R60" s="20" t="s">
        <v>51</v>
      </c>
      <c r="S60" s="20" t="s">
        <v>51</v>
      </c>
      <c r="T60" s="20" t="s">
        <v>51</v>
      </c>
      <c r="U60" s="21" t="s">
        <v>46</v>
      </c>
      <c r="V60" s="21" t="s">
        <v>63</v>
      </c>
      <c r="W60" s="20" t="s">
        <v>51</v>
      </c>
      <c r="X60" s="20" t="s">
        <v>51</v>
      </c>
      <c r="Y60" s="20" t="s">
        <v>51</v>
      </c>
      <c r="Z60" s="7"/>
      <c r="AA60" s="19" t="s">
        <v>50</v>
      </c>
      <c r="AB60" s="8" t="s">
        <v>50</v>
      </c>
      <c r="AC60" s="10"/>
      <c r="AD60" s="8" t="s">
        <v>50</v>
      </c>
      <c r="AE60" s="21" t="s">
        <v>50</v>
      </c>
      <c r="AF60" s="20"/>
      <c r="AG60" s="8" t="s">
        <v>50</v>
      </c>
      <c r="AH60" s="8" t="s">
        <v>50</v>
      </c>
      <c r="AI60" s="8" t="s">
        <v>50</v>
      </c>
      <c r="AJ60" s="8"/>
      <c r="AK60" s="10"/>
      <c r="AL60" s="21"/>
      <c r="AM60" s="21" t="s">
        <v>50</v>
      </c>
      <c r="AN60" s="7" t="s">
        <v>50</v>
      </c>
      <c r="AO60" s="8" t="s">
        <v>50</v>
      </c>
      <c r="AP60" s="7"/>
      <c r="AQ60" s="8" t="s">
        <v>53</v>
      </c>
      <c r="AR60" s="21" t="s">
        <v>53</v>
      </c>
      <c r="AS60" s="21" t="s">
        <v>53</v>
      </c>
      <c r="AT60" s="21" t="s">
        <v>53</v>
      </c>
      <c r="AU60" s="8" t="s">
        <v>53</v>
      </c>
      <c r="AV60" s="8"/>
      <c r="AW60" s="10"/>
      <c r="AX60" s="10"/>
      <c r="AY60" s="8" t="s">
        <v>7</v>
      </c>
      <c r="AZ60" s="21" t="s">
        <v>53</v>
      </c>
      <c r="BA60" s="21" t="s">
        <v>53</v>
      </c>
      <c r="BB60" s="7" t="s">
        <v>53</v>
      </c>
      <c r="BC60" s="7" t="s">
        <v>53</v>
      </c>
      <c r="BD60" s="37" t="s">
        <v>175</v>
      </c>
      <c r="BE60" s="22">
        <f t="shared" si="28"/>
        <v>10</v>
      </c>
      <c r="BF60" s="22">
        <f t="shared" si="0"/>
        <v>10</v>
      </c>
      <c r="BG60" s="22">
        <f t="shared" si="1"/>
        <v>0</v>
      </c>
      <c r="BH60" s="22">
        <f t="shared" si="2"/>
        <v>20</v>
      </c>
      <c r="BI60" s="22">
        <f t="shared" si="3"/>
        <v>3</v>
      </c>
      <c r="BJ60" s="22">
        <f t="shared" si="4"/>
        <v>4</v>
      </c>
      <c r="BK60" s="22">
        <f t="shared" si="5"/>
        <v>7</v>
      </c>
      <c r="BL60" s="22">
        <f t="shared" si="6"/>
        <v>0</v>
      </c>
      <c r="BM60" s="22">
        <f t="shared" si="7"/>
        <v>0</v>
      </c>
      <c r="BN60" s="22">
        <f t="shared" si="8"/>
        <v>0</v>
      </c>
      <c r="BO60" s="22">
        <f t="shared" si="9"/>
        <v>3</v>
      </c>
      <c r="BP60" s="22">
        <f t="shared" si="9"/>
        <v>4</v>
      </c>
      <c r="BQ60" s="22">
        <f t="shared" si="9"/>
        <v>7</v>
      </c>
      <c r="BR60" s="22">
        <f t="shared" si="10"/>
        <v>0</v>
      </c>
      <c r="BS60" s="22">
        <f t="shared" si="11"/>
        <v>0</v>
      </c>
      <c r="BT60" s="22">
        <f t="shared" si="12"/>
        <v>0</v>
      </c>
      <c r="BU60" s="22">
        <f t="shared" si="13"/>
        <v>0</v>
      </c>
      <c r="BV60" s="22">
        <f t="shared" si="14"/>
        <v>0</v>
      </c>
      <c r="BW60" s="22">
        <f t="shared" si="15"/>
        <v>0</v>
      </c>
      <c r="BX60" s="22">
        <f t="shared" si="16"/>
        <v>0</v>
      </c>
      <c r="BY60" s="22">
        <f t="shared" si="17"/>
        <v>0</v>
      </c>
      <c r="BZ60" s="22">
        <f t="shared" si="18"/>
        <v>0</v>
      </c>
      <c r="CA60" s="22">
        <f t="shared" si="19"/>
        <v>0</v>
      </c>
      <c r="CB60" s="22">
        <f t="shared" si="20"/>
        <v>0</v>
      </c>
      <c r="CC60" s="22">
        <f t="shared" si="21"/>
        <v>0</v>
      </c>
      <c r="CD60" s="22">
        <f t="shared" si="22"/>
        <v>0</v>
      </c>
      <c r="CE60" s="22">
        <f t="shared" si="23"/>
        <v>0</v>
      </c>
      <c r="CF60" s="22">
        <f t="shared" si="24"/>
        <v>0</v>
      </c>
      <c r="CG60" s="22">
        <f t="shared" si="25"/>
        <v>0</v>
      </c>
      <c r="CH60" s="22">
        <f t="shared" si="26"/>
        <v>10</v>
      </c>
      <c r="CI60" s="34">
        <f t="shared" si="27"/>
        <v>10</v>
      </c>
      <c r="CJ60" s="24">
        <f t="shared" si="29"/>
        <v>2</v>
      </c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</row>
    <row r="61" spans="1:156" s="3" customFormat="1" ht="49.5" customHeight="1">
      <c r="A61" s="38"/>
      <c r="B61" s="22">
        <v>14</v>
      </c>
      <c r="C61" s="34" t="s">
        <v>176</v>
      </c>
      <c r="D61" s="20" t="s">
        <v>7</v>
      </c>
      <c r="E61" s="20" t="s">
        <v>7</v>
      </c>
      <c r="F61" s="20" t="s">
        <v>7</v>
      </c>
      <c r="G61" s="20" t="s">
        <v>46</v>
      </c>
      <c r="H61" s="20" t="s">
        <v>7</v>
      </c>
      <c r="I61" s="20" t="s">
        <v>7</v>
      </c>
      <c r="J61" s="20" t="s">
        <v>7</v>
      </c>
      <c r="K61" s="20" t="s">
        <v>46</v>
      </c>
      <c r="L61" s="21" t="s">
        <v>7</v>
      </c>
      <c r="M61" s="20" t="s">
        <v>7</v>
      </c>
      <c r="N61" s="21" t="s">
        <v>7</v>
      </c>
      <c r="O61" s="21" t="s">
        <v>48</v>
      </c>
      <c r="P61" s="21" t="s">
        <v>54</v>
      </c>
      <c r="Q61" s="21" t="s">
        <v>7</v>
      </c>
      <c r="R61" s="21" t="s">
        <v>7</v>
      </c>
      <c r="S61" s="20" t="s">
        <v>7</v>
      </c>
      <c r="T61" s="20" t="s">
        <v>46</v>
      </c>
      <c r="U61" s="21" t="s">
        <v>54</v>
      </c>
      <c r="V61" s="21" t="s">
        <v>7</v>
      </c>
      <c r="W61" s="21" t="s">
        <v>7</v>
      </c>
      <c r="X61" s="21" t="s">
        <v>7</v>
      </c>
      <c r="Y61" s="21" t="s">
        <v>46</v>
      </c>
      <c r="Z61" s="8" t="s">
        <v>53</v>
      </c>
      <c r="AA61" s="7" t="s">
        <v>53</v>
      </c>
      <c r="AB61" s="8" t="s">
        <v>53</v>
      </c>
      <c r="AC61" s="7" t="s">
        <v>53</v>
      </c>
      <c r="AD61" s="7"/>
      <c r="AE61" s="21"/>
      <c r="AF61" s="20" t="s">
        <v>53</v>
      </c>
      <c r="AG61" s="7" t="s">
        <v>53</v>
      </c>
      <c r="AH61" s="7"/>
      <c r="AI61" s="7" t="s">
        <v>53</v>
      </c>
      <c r="AJ61" s="8" t="s">
        <v>53</v>
      </c>
      <c r="AK61" s="7" t="s">
        <v>53</v>
      </c>
      <c r="AL61" s="20" t="s">
        <v>53</v>
      </c>
      <c r="AM61" s="20" t="s">
        <v>53</v>
      </c>
      <c r="AN61" s="8"/>
      <c r="AO61" s="8" t="s">
        <v>53</v>
      </c>
      <c r="AP61" s="7" t="s">
        <v>53</v>
      </c>
      <c r="AQ61" s="7" t="s">
        <v>53</v>
      </c>
      <c r="AR61" s="21"/>
      <c r="AS61" s="20" t="s">
        <v>53</v>
      </c>
      <c r="AT61" s="21" t="s">
        <v>53</v>
      </c>
      <c r="AU61" s="10"/>
      <c r="AV61" s="10"/>
      <c r="AW61" s="10"/>
      <c r="AX61" s="10"/>
      <c r="AY61" s="8"/>
      <c r="AZ61" s="21" t="s">
        <v>53</v>
      </c>
      <c r="BA61" s="21" t="s">
        <v>53</v>
      </c>
      <c r="BB61" s="8" t="s">
        <v>53</v>
      </c>
      <c r="BC61" s="7" t="s">
        <v>53</v>
      </c>
      <c r="BD61" s="35" t="s">
        <v>170</v>
      </c>
      <c r="BE61" s="22">
        <f>COUNTIF(Z61:BC61,"D*")</f>
        <v>0</v>
      </c>
      <c r="BF61" s="30">
        <f>COUNTIF(Z61:BC61,"E*")</f>
        <v>20</v>
      </c>
      <c r="BG61" s="22">
        <f>COUNTIF(Z61:BC61,"N*")</f>
        <v>0</v>
      </c>
      <c r="BH61" s="22">
        <f>SUM(BE61:BG61)</f>
        <v>20</v>
      </c>
      <c r="BI61" s="22">
        <f>COUNTIF(D61:Y61, "例")</f>
        <v>4</v>
      </c>
      <c r="BJ61" s="22">
        <f>COUNTIF(D61:Y61, "*息*")</f>
        <v>3</v>
      </c>
      <c r="BK61" s="22">
        <f>BI61+BJ61</f>
        <v>7</v>
      </c>
      <c r="BL61" s="22">
        <f>COUNTIF(Z61:AE61, "例")</f>
        <v>0</v>
      </c>
      <c r="BM61" s="22">
        <f>COUNTIF(Z61:AE61,"*息*")</f>
        <v>0</v>
      </c>
      <c r="BN61" s="22">
        <f>BL61+BM61</f>
        <v>0</v>
      </c>
      <c r="BO61" s="22">
        <f>BI61+BL61</f>
        <v>4</v>
      </c>
      <c r="BP61" s="22">
        <f>BJ61+BM61</f>
        <v>3</v>
      </c>
      <c r="BQ61" s="22">
        <f>BK61+BN61</f>
        <v>7</v>
      </c>
      <c r="BR61" s="22">
        <f>COUNTIF(AF61:BC61,"例")</f>
        <v>0</v>
      </c>
      <c r="BS61" s="22">
        <f>COUNTIF(AF61:BC61,"*息*")</f>
        <v>0</v>
      </c>
      <c r="BT61" s="22">
        <f>SUM(BR61+BS61)</f>
        <v>0</v>
      </c>
      <c r="BU61" s="22">
        <f>COUNTIF(Z61:BC61,"*國*")</f>
        <v>0</v>
      </c>
      <c r="BV61" s="22">
        <f>COUNTIF(Z61:BC61,"例")</f>
        <v>0</v>
      </c>
      <c r="BW61" s="22">
        <f>COUNTIF(Z61:BC61,"息")</f>
        <v>0</v>
      </c>
      <c r="BX61" s="22">
        <f>COUNTIF(Z61:BC61,"國")</f>
        <v>0</v>
      </c>
      <c r="BY61" s="22">
        <f>COUNTIF(Z61:BC61,"補*")</f>
        <v>0</v>
      </c>
      <c r="BZ61" s="22">
        <f>COUNTIF(Z61:BC61,"特*")</f>
        <v>0</v>
      </c>
      <c r="CA61" s="22">
        <f>COUNTIF(Z61:BC61,"喪*")</f>
        <v>0</v>
      </c>
      <c r="CB61" s="22">
        <f>COUNTIF(Z61:BC61,"病")</f>
        <v>0</v>
      </c>
      <c r="CC61" s="22">
        <f>COUNTIF(Z61:BC61,"空")</f>
        <v>0</v>
      </c>
      <c r="CD61" s="22">
        <f>COUNTIF(Z61:BC61,"婚*")</f>
        <v>0</v>
      </c>
      <c r="CE61" s="22">
        <f>COUNTIF(Z61:BC61,"產檢")</f>
        <v>0</v>
      </c>
      <c r="CF61" s="22">
        <f>COUNTIF(Z61:BC61,"產*")</f>
        <v>0</v>
      </c>
      <c r="CG61" s="22">
        <f>COUNTIF(Z61:BC61,"公")</f>
        <v>0</v>
      </c>
      <c r="CH61" s="22">
        <f>COUNTIF(Z61:BC61, "")</f>
        <v>10</v>
      </c>
      <c r="CI61" s="34">
        <f>SUM(BV61:CH61)</f>
        <v>10</v>
      </c>
      <c r="CJ61" s="24">
        <f>COUNTIF(AE61:AF61,"")+COUNTIF(AL61:AM61,"")+COUNTIF(AR61:AT61,"")+ COUNTIF(AZ61:BA61,"")+ COUNTIF(AE61:AF61,"例")+COUNTIF(AL61:AM61,"例")+COUNTIF(AR61:AT61,"例")+COUNTIF(AZ61:BA61,"例")+ COUNTIF(AE61:AF61,"息")+COUNTIF(AL61:AM61,"息")+COUNTIF(AR61:AT61,"息")+ COUNTIF(AZ61:BA61,"息")+COUNTIF(AE61:AF61,"特")+COUNTIF(AL61:AM61,"特")+COUNTIF(AR61:AT61,"特")+COUNTIF(AZ61:BA61,"特")+COUNTIF(AE61:AF61,"補*")+COUNTIF(AL61:AM61,"補*")+COUNTIF(AR61:AT61,"補*")+COUNTIF(AZ61:BA61,"補*")+COUNTIF(AE61:AF61,"喪")+COUNTIF(AL61:AM61,"喪")+COUNTIF(AR61:AT61,"喪")+COUNTIF(AZ61:BA61,"喪")</f>
        <v>2</v>
      </c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</row>
    <row r="62" spans="1:156" s="3" customFormat="1" ht="49.5" customHeight="1">
      <c r="A62" s="38"/>
      <c r="B62" s="22">
        <v>15</v>
      </c>
      <c r="C62" s="34" t="s">
        <v>177</v>
      </c>
      <c r="D62" s="20" t="s">
        <v>7</v>
      </c>
      <c r="E62" s="20" t="s">
        <v>7</v>
      </c>
      <c r="F62" s="20" t="s">
        <v>46</v>
      </c>
      <c r="G62" s="20" t="s">
        <v>51</v>
      </c>
      <c r="H62" s="20" t="s">
        <v>51</v>
      </c>
      <c r="I62" s="20" t="s">
        <v>51</v>
      </c>
      <c r="J62" s="20" t="s">
        <v>48</v>
      </c>
      <c r="K62" s="20" t="s">
        <v>51</v>
      </c>
      <c r="L62" s="20" t="s">
        <v>51</v>
      </c>
      <c r="M62" s="20" t="s">
        <v>63</v>
      </c>
      <c r="N62" s="20" t="s">
        <v>46</v>
      </c>
      <c r="O62" s="20" t="s">
        <v>51</v>
      </c>
      <c r="P62" s="20" t="s">
        <v>51</v>
      </c>
      <c r="Q62" s="20" t="s">
        <v>51</v>
      </c>
      <c r="R62" s="20" t="s">
        <v>51</v>
      </c>
      <c r="S62" s="20" t="s">
        <v>46</v>
      </c>
      <c r="T62" s="20" t="s">
        <v>51</v>
      </c>
      <c r="U62" s="20" t="s">
        <v>51</v>
      </c>
      <c r="V62" s="20" t="s">
        <v>48</v>
      </c>
      <c r="W62" s="20" t="s">
        <v>51</v>
      </c>
      <c r="X62" s="20" t="s">
        <v>51</v>
      </c>
      <c r="Y62" s="20" t="s">
        <v>46</v>
      </c>
      <c r="Z62" s="8" t="s">
        <v>50</v>
      </c>
      <c r="AA62" s="8" t="s">
        <v>50</v>
      </c>
      <c r="AB62" s="8" t="s">
        <v>50</v>
      </c>
      <c r="AC62" s="8" t="s">
        <v>50</v>
      </c>
      <c r="AD62" s="7"/>
      <c r="AE62" s="21"/>
      <c r="AF62" s="21"/>
      <c r="AG62" s="7" t="s">
        <v>50</v>
      </c>
      <c r="AH62" s="7" t="s">
        <v>50</v>
      </c>
      <c r="AI62" s="8" t="s">
        <v>50</v>
      </c>
      <c r="AJ62" s="7"/>
      <c r="AK62" s="7" t="s">
        <v>50</v>
      </c>
      <c r="AL62" s="20" t="s">
        <v>50</v>
      </c>
      <c r="AM62" s="21" t="s">
        <v>51</v>
      </c>
      <c r="AN62" s="7"/>
      <c r="AO62" s="7" t="s">
        <v>50</v>
      </c>
      <c r="AP62" s="7" t="s">
        <v>50</v>
      </c>
      <c r="AQ62" s="8" t="s">
        <v>50</v>
      </c>
      <c r="AR62" s="20" t="s">
        <v>50</v>
      </c>
      <c r="AS62" s="20" t="s">
        <v>50</v>
      </c>
      <c r="AT62" s="21"/>
      <c r="AU62" s="7" t="s">
        <v>50</v>
      </c>
      <c r="AV62" s="8" t="s">
        <v>50</v>
      </c>
      <c r="AW62" s="8" t="s">
        <v>50</v>
      </c>
      <c r="AX62" s="10"/>
      <c r="AY62" s="10"/>
      <c r="AZ62" s="20"/>
      <c r="BA62" s="20"/>
      <c r="BB62" s="10"/>
      <c r="BC62" s="7" t="s">
        <v>50</v>
      </c>
      <c r="BD62" s="34" t="s">
        <v>177</v>
      </c>
      <c r="BE62" s="22">
        <f t="shared" si="28"/>
        <v>19</v>
      </c>
      <c r="BF62" s="22">
        <f t="shared" si="0"/>
        <v>0</v>
      </c>
      <c r="BG62" s="22">
        <f t="shared" si="1"/>
        <v>0</v>
      </c>
      <c r="BH62" s="22">
        <f t="shared" si="2"/>
        <v>19</v>
      </c>
      <c r="BI62" s="22">
        <f t="shared" si="3"/>
        <v>4</v>
      </c>
      <c r="BJ62" s="22">
        <f t="shared" si="4"/>
        <v>3</v>
      </c>
      <c r="BK62" s="22">
        <f t="shared" si="5"/>
        <v>7</v>
      </c>
      <c r="BL62" s="22">
        <f t="shared" si="6"/>
        <v>0</v>
      </c>
      <c r="BM62" s="22">
        <f t="shared" si="7"/>
        <v>0</v>
      </c>
      <c r="BN62" s="22">
        <f t="shared" si="8"/>
        <v>0</v>
      </c>
      <c r="BO62" s="22">
        <f t="shared" si="9"/>
        <v>4</v>
      </c>
      <c r="BP62" s="22">
        <f t="shared" si="9"/>
        <v>3</v>
      </c>
      <c r="BQ62" s="22">
        <f t="shared" si="9"/>
        <v>7</v>
      </c>
      <c r="BR62" s="22">
        <f t="shared" si="10"/>
        <v>0</v>
      </c>
      <c r="BS62" s="22">
        <f t="shared" si="11"/>
        <v>0</v>
      </c>
      <c r="BT62" s="22">
        <f t="shared" si="12"/>
        <v>0</v>
      </c>
      <c r="BU62" s="22">
        <f t="shared" si="13"/>
        <v>0</v>
      </c>
      <c r="BV62" s="22">
        <f t="shared" si="14"/>
        <v>0</v>
      </c>
      <c r="BW62" s="22">
        <f t="shared" si="15"/>
        <v>0</v>
      </c>
      <c r="BX62" s="22">
        <f t="shared" si="16"/>
        <v>0</v>
      </c>
      <c r="BY62" s="22">
        <f t="shared" si="17"/>
        <v>0</v>
      </c>
      <c r="BZ62" s="22">
        <f t="shared" si="18"/>
        <v>0</v>
      </c>
      <c r="CA62" s="22">
        <f t="shared" si="19"/>
        <v>0</v>
      </c>
      <c r="CB62" s="22">
        <f t="shared" si="20"/>
        <v>0</v>
      </c>
      <c r="CC62" s="22">
        <f t="shared" si="21"/>
        <v>0</v>
      </c>
      <c r="CD62" s="22">
        <f t="shared" si="22"/>
        <v>0</v>
      </c>
      <c r="CE62" s="22">
        <f t="shared" si="23"/>
        <v>0</v>
      </c>
      <c r="CF62" s="22">
        <f t="shared" si="24"/>
        <v>0</v>
      </c>
      <c r="CG62" s="22">
        <f t="shared" si="25"/>
        <v>0</v>
      </c>
      <c r="CH62" s="22">
        <f t="shared" si="26"/>
        <v>11</v>
      </c>
      <c r="CI62" s="34">
        <f t="shared" si="27"/>
        <v>11</v>
      </c>
      <c r="CJ62" s="24">
        <f t="shared" si="29"/>
        <v>5</v>
      </c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</row>
    <row r="63" spans="1:156" s="3" customFormat="1" ht="49.5" customHeight="1">
      <c r="A63" s="38"/>
      <c r="B63" s="22">
        <v>1</v>
      </c>
      <c r="C63" s="34" t="s">
        <v>210</v>
      </c>
      <c r="D63" s="20" t="s">
        <v>51</v>
      </c>
      <c r="E63" s="20" t="s">
        <v>46</v>
      </c>
      <c r="F63" s="20" t="s">
        <v>48</v>
      </c>
      <c r="G63" s="20" t="s">
        <v>51</v>
      </c>
      <c r="H63" s="20" t="s">
        <v>51</v>
      </c>
      <c r="I63" s="20" t="s">
        <v>51</v>
      </c>
      <c r="J63" s="20" t="s">
        <v>51</v>
      </c>
      <c r="K63" s="20" t="s">
        <v>46</v>
      </c>
      <c r="L63" s="20" t="s">
        <v>51</v>
      </c>
      <c r="M63" s="20" t="s">
        <v>51</v>
      </c>
      <c r="N63" s="20" t="s">
        <v>51</v>
      </c>
      <c r="O63" s="21" t="s">
        <v>69</v>
      </c>
      <c r="P63" s="21" t="s">
        <v>69</v>
      </c>
      <c r="Q63" s="20" t="s">
        <v>48</v>
      </c>
      <c r="R63" s="20" t="s">
        <v>46</v>
      </c>
      <c r="S63" s="20" t="s">
        <v>48</v>
      </c>
      <c r="T63" s="20" t="s">
        <v>8</v>
      </c>
      <c r="U63" s="20" t="s">
        <v>8</v>
      </c>
      <c r="V63" s="20" t="s">
        <v>56</v>
      </c>
      <c r="W63" s="20" t="s">
        <v>8</v>
      </c>
      <c r="X63" s="20" t="s">
        <v>8</v>
      </c>
      <c r="Y63" s="20" t="s">
        <v>46</v>
      </c>
      <c r="Z63" s="8"/>
      <c r="AA63" s="8" t="s">
        <v>50</v>
      </c>
      <c r="AB63" s="7" t="s">
        <v>50</v>
      </c>
      <c r="AC63" s="7" t="s">
        <v>50</v>
      </c>
      <c r="AD63" s="7" t="s">
        <v>50</v>
      </c>
      <c r="AE63" s="21"/>
      <c r="AF63" s="21"/>
      <c r="AG63" s="8"/>
      <c r="AH63" s="8" t="s">
        <v>50</v>
      </c>
      <c r="AI63" s="8" t="s">
        <v>51</v>
      </c>
      <c r="AJ63" s="8" t="s">
        <v>50</v>
      </c>
      <c r="AK63" s="8" t="s">
        <v>50</v>
      </c>
      <c r="AL63" s="21" t="s">
        <v>50</v>
      </c>
      <c r="AM63" s="20"/>
      <c r="AN63" s="10"/>
      <c r="AO63" s="10"/>
      <c r="AP63" s="7" t="s">
        <v>53</v>
      </c>
      <c r="AQ63" s="7" t="s">
        <v>53</v>
      </c>
      <c r="AR63" s="20" t="s">
        <v>53</v>
      </c>
      <c r="AS63" s="21"/>
      <c r="AT63" s="21" t="s">
        <v>53</v>
      </c>
      <c r="AU63" s="7" t="s">
        <v>53</v>
      </c>
      <c r="AV63" s="7" t="s">
        <v>53</v>
      </c>
      <c r="AW63" s="7"/>
      <c r="AX63" s="8" t="s">
        <v>53</v>
      </c>
      <c r="AY63" s="8" t="s">
        <v>53</v>
      </c>
      <c r="AZ63" s="21"/>
      <c r="BA63" s="20" t="s">
        <v>53</v>
      </c>
      <c r="BB63" s="7" t="s">
        <v>7</v>
      </c>
      <c r="BC63" s="7" t="s">
        <v>53</v>
      </c>
      <c r="BD63" s="34" t="s">
        <v>191</v>
      </c>
      <c r="BE63" s="22">
        <f>COUNTIF(Z63:BC63,"D*")</f>
        <v>9</v>
      </c>
      <c r="BF63" s="22">
        <f>COUNTIF(Z63:BC63,"E*")</f>
        <v>11</v>
      </c>
      <c r="BG63" s="22">
        <f>COUNTIF(Z63:BC63,"N*")</f>
        <v>0</v>
      </c>
      <c r="BH63" s="22">
        <f>SUM(BE63:BG63)</f>
        <v>20</v>
      </c>
      <c r="BI63" s="22">
        <f>COUNTIF(D63:Y63, "例")</f>
        <v>4</v>
      </c>
      <c r="BJ63" s="22">
        <f>COUNTIF(D63:Y63, "*息*")</f>
        <v>3</v>
      </c>
      <c r="BK63" s="22">
        <f>BI63+BJ63</f>
        <v>7</v>
      </c>
      <c r="BL63" s="22">
        <f>COUNTIF(Z63:AE63, "例")</f>
        <v>0</v>
      </c>
      <c r="BM63" s="22">
        <f>COUNTIF(Z63:AE63,"*息*")</f>
        <v>0</v>
      </c>
      <c r="BN63" s="22">
        <f>BL63+BM63</f>
        <v>0</v>
      </c>
      <c r="BO63" s="22">
        <f>BI63+BL63</f>
        <v>4</v>
      </c>
      <c r="BP63" s="22">
        <f>BJ63+BM63</f>
        <v>3</v>
      </c>
      <c r="BQ63" s="22">
        <f>BK63+BN63</f>
        <v>7</v>
      </c>
      <c r="BR63" s="22">
        <f>COUNTIF(AF63:BC63,"例")</f>
        <v>0</v>
      </c>
      <c r="BS63" s="22">
        <f>COUNTIF(AF63:BC63,"*息*")</f>
        <v>0</v>
      </c>
      <c r="BT63" s="22">
        <f>SUM(BR63+BS63)</f>
        <v>0</v>
      </c>
      <c r="BU63" s="22">
        <f>COUNTIF(Z63:BC63,"*國*")</f>
        <v>0</v>
      </c>
      <c r="BV63" s="22">
        <f>COUNTIF(Z63:BC63,"例")</f>
        <v>0</v>
      </c>
      <c r="BW63" s="22">
        <f>COUNTIF(Z63:BC63,"息")</f>
        <v>0</v>
      </c>
      <c r="BX63" s="22">
        <f>COUNTIF(Z63:BC63,"國")</f>
        <v>0</v>
      </c>
      <c r="BY63" s="22">
        <f>COUNTIF(Z63:BC63,"補*")</f>
        <v>0</v>
      </c>
      <c r="BZ63" s="22">
        <f>COUNTIF(Z63:BC63,"特*")</f>
        <v>0</v>
      </c>
      <c r="CA63" s="22">
        <f>COUNTIF(Z63:BC63,"喪*")</f>
        <v>0</v>
      </c>
      <c r="CB63" s="22">
        <f>COUNTIF(Z63:BC63,"病")</f>
        <v>0</v>
      </c>
      <c r="CC63" s="22">
        <f>COUNTIF(Z63:BC63,"空")</f>
        <v>0</v>
      </c>
      <c r="CD63" s="22">
        <f>COUNTIF(Z63:BC63,"婚*")</f>
        <v>0</v>
      </c>
      <c r="CE63" s="22">
        <f>COUNTIF(Z63:BC63,"產檢")</f>
        <v>0</v>
      </c>
      <c r="CF63" s="22">
        <f>COUNTIF(Z63:BC63,"產*")</f>
        <v>0</v>
      </c>
      <c r="CG63" s="22">
        <f>COUNTIF(Z63:BC63,"公")</f>
        <v>0</v>
      </c>
      <c r="CH63" s="22">
        <f>COUNTIF(Z63:BC63, "")</f>
        <v>10</v>
      </c>
      <c r="CI63" s="34">
        <f>SUM(BV63:CH63)</f>
        <v>10</v>
      </c>
      <c r="CJ63" s="24">
        <f>COUNTIF(AE63:AF63,"")+COUNTIF(AL63:AM63,"")+COUNTIF(AR63:AT63,"")+ COUNTIF(AZ63:BA63,"")+ COUNTIF(AE63:AF63,"例")+COUNTIF(AL63:AM63,"例")+COUNTIF(AR63:AT63,"例")+COUNTIF(AZ63:BA63,"例")+ COUNTIF(AE63:AF63,"息")+COUNTIF(AL63:AM63,"息")+COUNTIF(AR63:AT63,"息")+ COUNTIF(AZ63:BA63,"息")+COUNTIF(AE63:AF63,"特")+COUNTIF(AL63:AM63,"特")+COUNTIF(AR63:AT63,"特")+COUNTIF(AZ63:BA63,"特")+COUNTIF(AE63:AF63,"補*")+COUNTIF(AL63:AM63,"補*")+COUNTIF(AR63:AT63,"補*")+COUNTIF(AZ63:BA63,"補*")+COUNTIF(AE63:AF63,"喪")+COUNTIF(AL63:AM63,"喪")+COUNTIF(AR63:AT63,"喪")+COUNTIF(AZ63:BA63,"喪")</f>
        <v>5</v>
      </c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</row>
    <row r="64" spans="1:156" s="3" customFormat="1" ht="49.5" customHeight="1">
      <c r="A64" s="38"/>
      <c r="B64" s="22">
        <v>2</v>
      </c>
      <c r="C64" s="34" t="s">
        <v>211</v>
      </c>
      <c r="D64" s="21" t="s">
        <v>46</v>
      </c>
      <c r="E64" s="21" t="s">
        <v>7</v>
      </c>
      <c r="F64" s="21" t="s">
        <v>7</v>
      </c>
      <c r="G64" s="21" t="s">
        <v>7</v>
      </c>
      <c r="H64" s="21" t="s">
        <v>48</v>
      </c>
      <c r="I64" s="21" t="s">
        <v>48</v>
      </c>
      <c r="J64" s="21" t="s">
        <v>7</v>
      </c>
      <c r="K64" s="20" t="s">
        <v>7</v>
      </c>
      <c r="L64" s="21" t="s">
        <v>7</v>
      </c>
      <c r="M64" s="21" t="s">
        <v>7</v>
      </c>
      <c r="N64" s="20" t="s">
        <v>48</v>
      </c>
      <c r="O64" s="20" t="s">
        <v>8</v>
      </c>
      <c r="P64" s="21" t="s">
        <v>8</v>
      </c>
      <c r="Q64" s="21" t="s">
        <v>8</v>
      </c>
      <c r="R64" s="21" t="s">
        <v>46</v>
      </c>
      <c r="S64" s="20" t="s">
        <v>48</v>
      </c>
      <c r="T64" s="20" t="s">
        <v>8</v>
      </c>
      <c r="U64" s="20" t="s">
        <v>8</v>
      </c>
      <c r="V64" s="20" t="s">
        <v>8</v>
      </c>
      <c r="W64" s="21" t="s">
        <v>48</v>
      </c>
      <c r="X64" s="21" t="s">
        <v>8</v>
      </c>
      <c r="Y64" s="21" t="s">
        <v>8</v>
      </c>
      <c r="Z64" s="7"/>
      <c r="AA64" s="8"/>
      <c r="AB64" s="8" t="s">
        <v>50</v>
      </c>
      <c r="AC64" s="8" t="s">
        <v>50</v>
      </c>
      <c r="AD64" s="7" t="s">
        <v>50</v>
      </c>
      <c r="AE64" s="21" t="s">
        <v>50</v>
      </c>
      <c r="AF64" s="21"/>
      <c r="AG64" s="8"/>
      <c r="AH64" s="7" t="s">
        <v>50</v>
      </c>
      <c r="AI64" s="8" t="s">
        <v>50</v>
      </c>
      <c r="AJ64" s="8" t="s">
        <v>50</v>
      </c>
      <c r="AK64" s="9"/>
      <c r="AL64" s="21" t="s">
        <v>50</v>
      </c>
      <c r="AM64" s="21"/>
      <c r="AN64" s="8" t="s">
        <v>50</v>
      </c>
      <c r="AO64" s="8" t="s">
        <v>50</v>
      </c>
      <c r="AP64" s="8" t="s">
        <v>50</v>
      </c>
      <c r="AQ64" s="8" t="s">
        <v>7</v>
      </c>
      <c r="AR64" s="21"/>
      <c r="AS64" s="21" t="s">
        <v>53</v>
      </c>
      <c r="AT64" s="21" t="s">
        <v>53</v>
      </c>
      <c r="AU64" s="7" t="s">
        <v>53</v>
      </c>
      <c r="AV64" s="8"/>
      <c r="AW64" s="8"/>
      <c r="AX64" s="7" t="s">
        <v>53</v>
      </c>
      <c r="AY64" s="8" t="s">
        <v>53</v>
      </c>
      <c r="AZ64" s="21"/>
      <c r="BA64" s="21" t="s">
        <v>53</v>
      </c>
      <c r="BB64" s="8" t="s">
        <v>53</v>
      </c>
      <c r="BC64" s="7" t="s">
        <v>53</v>
      </c>
      <c r="BD64" s="34" t="s">
        <v>178</v>
      </c>
      <c r="BE64" s="22">
        <f t="shared" si="28"/>
        <v>11</v>
      </c>
      <c r="BF64" s="22">
        <f t="shared" si="0"/>
        <v>9</v>
      </c>
      <c r="BG64" s="22">
        <f t="shared" si="1"/>
        <v>0</v>
      </c>
      <c r="BH64" s="22">
        <f t="shared" si="2"/>
        <v>20</v>
      </c>
      <c r="BI64" s="22">
        <f t="shared" si="3"/>
        <v>2</v>
      </c>
      <c r="BJ64" s="22">
        <f t="shared" si="4"/>
        <v>5</v>
      </c>
      <c r="BK64" s="22">
        <f t="shared" si="5"/>
        <v>7</v>
      </c>
      <c r="BL64" s="22">
        <f t="shared" si="6"/>
        <v>0</v>
      </c>
      <c r="BM64" s="22">
        <f t="shared" si="7"/>
        <v>0</v>
      </c>
      <c r="BN64" s="22">
        <f t="shared" si="8"/>
        <v>0</v>
      </c>
      <c r="BO64" s="22">
        <f t="shared" si="9"/>
        <v>2</v>
      </c>
      <c r="BP64" s="22">
        <f t="shared" si="9"/>
        <v>5</v>
      </c>
      <c r="BQ64" s="22">
        <f t="shared" si="9"/>
        <v>7</v>
      </c>
      <c r="BR64" s="22">
        <f t="shared" si="10"/>
        <v>0</v>
      </c>
      <c r="BS64" s="22">
        <f t="shared" si="11"/>
        <v>0</v>
      </c>
      <c r="BT64" s="22">
        <f t="shared" si="12"/>
        <v>0</v>
      </c>
      <c r="BU64" s="22">
        <f t="shared" si="13"/>
        <v>0</v>
      </c>
      <c r="BV64" s="22">
        <f t="shared" si="14"/>
        <v>0</v>
      </c>
      <c r="BW64" s="22">
        <f t="shared" si="15"/>
        <v>0</v>
      </c>
      <c r="BX64" s="22">
        <f t="shared" si="16"/>
        <v>0</v>
      </c>
      <c r="BY64" s="22">
        <f t="shared" si="17"/>
        <v>0</v>
      </c>
      <c r="BZ64" s="22">
        <f t="shared" si="18"/>
        <v>0</v>
      </c>
      <c r="CA64" s="22">
        <f t="shared" si="19"/>
        <v>0</v>
      </c>
      <c r="CB64" s="22">
        <f t="shared" si="20"/>
        <v>0</v>
      </c>
      <c r="CC64" s="22">
        <f t="shared" si="21"/>
        <v>0</v>
      </c>
      <c r="CD64" s="22">
        <f t="shared" si="22"/>
        <v>0</v>
      </c>
      <c r="CE64" s="22">
        <f t="shared" si="23"/>
        <v>0</v>
      </c>
      <c r="CF64" s="22">
        <f t="shared" si="24"/>
        <v>0</v>
      </c>
      <c r="CG64" s="22">
        <f t="shared" si="25"/>
        <v>0</v>
      </c>
      <c r="CH64" s="22">
        <f t="shared" si="26"/>
        <v>10</v>
      </c>
      <c r="CI64" s="34">
        <f t="shared" si="27"/>
        <v>10</v>
      </c>
      <c r="CJ64" s="24">
        <f t="shared" si="29"/>
        <v>4</v>
      </c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</row>
    <row r="65" spans="1:156" s="3" customFormat="1" ht="49.5" customHeight="1">
      <c r="A65" s="38"/>
      <c r="B65" s="22">
        <v>3</v>
      </c>
      <c r="C65" s="34" t="s">
        <v>180</v>
      </c>
      <c r="D65" s="21" t="s">
        <v>46</v>
      </c>
      <c r="E65" s="21" t="s">
        <v>7</v>
      </c>
      <c r="F65" s="21" t="s">
        <v>7</v>
      </c>
      <c r="G65" s="21" t="s">
        <v>48</v>
      </c>
      <c r="H65" s="21" t="s">
        <v>7</v>
      </c>
      <c r="I65" s="21" t="s">
        <v>7</v>
      </c>
      <c r="J65" s="21" t="s">
        <v>48</v>
      </c>
      <c r="K65" s="21" t="s">
        <v>51</v>
      </c>
      <c r="L65" s="21" t="s">
        <v>51</v>
      </c>
      <c r="M65" s="21" t="s">
        <v>51</v>
      </c>
      <c r="N65" s="21" t="s">
        <v>46</v>
      </c>
      <c r="O65" s="21" t="s">
        <v>48</v>
      </c>
      <c r="P65" s="21" t="s">
        <v>51</v>
      </c>
      <c r="Q65" s="21" t="s">
        <v>51</v>
      </c>
      <c r="R65" s="21" t="s">
        <v>51</v>
      </c>
      <c r="S65" s="21" t="s">
        <v>46</v>
      </c>
      <c r="T65" s="21" t="s">
        <v>51</v>
      </c>
      <c r="U65" s="21" t="s">
        <v>51</v>
      </c>
      <c r="V65" s="21" t="s">
        <v>48</v>
      </c>
      <c r="W65" s="21" t="s">
        <v>51</v>
      </c>
      <c r="X65" s="21" t="s">
        <v>51</v>
      </c>
      <c r="Y65" s="21" t="s">
        <v>51</v>
      </c>
      <c r="Z65" s="8" t="s">
        <v>50</v>
      </c>
      <c r="AA65" s="8" t="s">
        <v>50</v>
      </c>
      <c r="AB65" s="7"/>
      <c r="AC65" s="7"/>
      <c r="AD65" s="9"/>
      <c r="AE65" s="21"/>
      <c r="AF65" s="21" t="s">
        <v>50</v>
      </c>
      <c r="AG65" s="7" t="s">
        <v>50</v>
      </c>
      <c r="AH65" s="7" t="s">
        <v>50</v>
      </c>
      <c r="AI65" s="7" t="s">
        <v>50</v>
      </c>
      <c r="AJ65" s="7"/>
      <c r="AK65" s="8" t="s">
        <v>50</v>
      </c>
      <c r="AL65" s="21" t="s">
        <v>50</v>
      </c>
      <c r="AM65" s="21" t="s">
        <v>50</v>
      </c>
      <c r="AN65" s="8"/>
      <c r="AO65" s="8" t="s">
        <v>53</v>
      </c>
      <c r="AP65" s="8" t="s">
        <v>53</v>
      </c>
      <c r="AQ65" s="8" t="s">
        <v>53</v>
      </c>
      <c r="AR65" s="21" t="s">
        <v>53</v>
      </c>
      <c r="AS65" s="21" t="s">
        <v>53</v>
      </c>
      <c r="AT65" s="21"/>
      <c r="AU65" s="9"/>
      <c r="AV65" s="9"/>
      <c r="AW65" s="8" t="s">
        <v>53</v>
      </c>
      <c r="AX65" s="8" t="s">
        <v>53</v>
      </c>
      <c r="AY65" s="8" t="s">
        <v>53</v>
      </c>
      <c r="AZ65" s="21" t="s">
        <v>53</v>
      </c>
      <c r="BA65" s="21"/>
      <c r="BB65" s="8" t="s">
        <v>53</v>
      </c>
      <c r="BC65" s="8" t="s">
        <v>53</v>
      </c>
      <c r="BD65" s="37" t="s">
        <v>180</v>
      </c>
      <c r="BE65" s="22">
        <f>COUNTIF(Z65:BC65,"D*")</f>
        <v>9</v>
      </c>
      <c r="BF65" s="22">
        <f>COUNTIF(Z65:BC65,"E*")</f>
        <v>11</v>
      </c>
      <c r="BG65" s="22">
        <f>COUNTIF(Z65:BC65,"N*")</f>
        <v>0</v>
      </c>
      <c r="BH65" s="22">
        <f>SUM(BE65:BG65)</f>
        <v>20</v>
      </c>
      <c r="BI65" s="22">
        <f>COUNTIF(D65:Y65, "例")</f>
        <v>3</v>
      </c>
      <c r="BJ65" s="22">
        <f>COUNTIF(D65:Y65, "*息*")</f>
        <v>4</v>
      </c>
      <c r="BK65" s="22">
        <f>BI65+BJ65</f>
        <v>7</v>
      </c>
      <c r="BL65" s="22">
        <f>COUNTIF(Z65:AE65, "例")</f>
        <v>0</v>
      </c>
      <c r="BM65" s="22">
        <f>COUNTIF(Z65:AE65,"*息*")</f>
        <v>0</v>
      </c>
      <c r="BN65" s="22">
        <f>BL65+BM65</f>
        <v>0</v>
      </c>
      <c r="BO65" s="22">
        <f t="shared" ref="BO65:BQ66" si="33">BI65+BL65</f>
        <v>3</v>
      </c>
      <c r="BP65" s="22">
        <f t="shared" si="33"/>
        <v>4</v>
      </c>
      <c r="BQ65" s="22">
        <f t="shared" si="33"/>
        <v>7</v>
      </c>
      <c r="BR65" s="22">
        <f>COUNTIF(AF65:BC65,"例")</f>
        <v>0</v>
      </c>
      <c r="BS65" s="22">
        <f>COUNTIF(AF65:BC65,"*息*")</f>
        <v>0</v>
      </c>
      <c r="BT65" s="22">
        <f>SUM(BR65+BS65)</f>
        <v>0</v>
      </c>
      <c r="BU65" s="22">
        <f>COUNTIF(Z65:BC65,"*國*")</f>
        <v>0</v>
      </c>
      <c r="BV65" s="22">
        <f>COUNTIF(Z65:BC65,"例")</f>
        <v>0</v>
      </c>
      <c r="BW65" s="22">
        <f>COUNTIF(Z65:BC65,"息")</f>
        <v>0</v>
      </c>
      <c r="BX65" s="22">
        <f>COUNTIF(Z65:BC65,"國")</f>
        <v>0</v>
      </c>
      <c r="BY65" s="22">
        <f>COUNTIF(Z65:BC65,"補*")</f>
        <v>0</v>
      </c>
      <c r="BZ65" s="22">
        <f>COUNTIF(Z65:BC65,"特*")</f>
        <v>0</v>
      </c>
      <c r="CA65" s="22">
        <f>COUNTIF(Z65:BC65,"喪*")</f>
        <v>0</v>
      </c>
      <c r="CB65" s="22">
        <f>COUNTIF(Z65:BC65,"病")</f>
        <v>0</v>
      </c>
      <c r="CC65" s="22">
        <f>COUNTIF(Z65:BC65,"空")</f>
        <v>0</v>
      </c>
      <c r="CD65" s="22">
        <f>COUNTIF(Z65:BC65,"婚*")</f>
        <v>0</v>
      </c>
      <c r="CE65" s="22">
        <f>COUNTIF(Z65:BC65,"產檢")</f>
        <v>0</v>
      </c>
      <c r="CF65" s="22">
        <f>COUNTIF(Z65:BC65,"產*")</f>
        <v>0</v>
      </c>
      <c r="CG65" s="22">
        <f>COUNTIF(Z65:BC65,"公")</f>
        <v>0</v>
      </c>
      <c r="CH65" s="22">
        <f>COUNTIF(Z65:BC65, "")</f>
        <v>10</v>
      </c>
      <c r="CI65" s="34">
        <f>SUM(BV65:CH65)</f>
        <v>10</v>
      </c>
      <c r="CJ65" s="24">
        <f>COUNTIF(AE65:AF65,"")+COUNTIF(AL65:AM65,"")+COUNTIF(AR65:AT65,"")+ COUNTIF(AZ65:BA65,"")+ COUNTIF(AE65:AF65,"例")+COUNTIF(AL65:AM65,"例")+COUNTIF(AR65:AT65,"例")+COUNTIF(AZ65:BA65,"例")+ COUNTIF(AE65:AF65,"息")+COUNTIF(AL65:AM65,"息")+COUNTIF(AR65:AT65,"息")+ COUNTIF(AZ65:BA65,"息")+COUNTIF(AE65:AF65,"特")+COUNTIF(AL65:AM65,"特")+COUNTIF(AR65:AT65,"特")+COUNTIF(AZ65:BA65,"特")+COUNTIF(AE65:AF65,"補*")+COUNTIF(AL65:AM65,"補*")+COUNTIF(AR65:AT65,"補*")+COUNTIF(AZ65:BA65,"補*")+COUNTIF(AE65:AF65,"喪")+COUNTIF(AL65:AM65,"喪")+COUNTIF(AR65:AT65,"喪")+COUNTIF(AZ65:BA65,"喪")</f>
        <v>3</v>
      </c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</row>
    <row r="66" spans="1:156" s="3" customFormat="1" ht="49.5" customHeight="1">
      <c r="A66" s="38"/>
      <c r="B66" s="22">
        <v>4</v>
      </c>
      <c r="C66" s="34" t="s">
        <v>181</v>
      </c>
      <c r="D66" s="21" t="s">
        <v>46</v>
      </c>
      <c r="E66" s="21" t="s">
        <v>51</v>
      </c>
      <c r="F66" s="21" t="s">
        <v>51</v>
      </c>
      <c r="G66" s="20" t="s">
        <v>67</v>
      </c>
      <c r="H66" s="20" t="s">
        <v>48</v>
      </c>
      <c r="I66" s="20" t="s">
        <v>51</v>
      </c>
      <c r="J66" s="20" t="s">
        <v>51</v>
      </c>
      <c r="K66" s="20" t="s">
        <v>56</v>
      </c>
      <c r="L66" s="20" t="s">
        <v>46</v>
      </c>
      <c r="M66" s="21" t="s">
        <v>48</v>
      </c>
      <c r="N66" s="20" t="s">
        <v>48</v>
      </c>
      <c r="O66" s="21" t="s">
        <v>51</v>
      </c>
      <c r="P66" s="21" t="s">
        <v>51</v>
      </c>
      <c r="Q66" s="21" t="s">
        <v>51</v>
      </c>
      <c r="R66" s="21" t="s">
        <v>51</v>
      </c>
      <c r="S66" s="21" t="s">
        <v>51</v>
      </c>
      <c r="T66" s="21" t="s">
        <v>46</v>
      </c>
      <c r="U66" s="20" t="s">
        <v>51</v>
      </c>
      <c r="V66" s="21" t="s">
        <v>51</v>
      </c>
      <c r="W66" s="21" t="s">
        <v>48</v>
      </c>
      <c r="X66" s="21" t="s">
        <v>51</v>
      </c>
      <c r="Y66" s="21" t="s">
        <v>51</v>
      </c>
      <c r="Z66" s="8" t="s">
        <v>50</v>
      </c>
      <c r="AA66" s="9"/>
      <c r="AB66" s="9"/>
      <c r="AC66" s="7" t="s">
        <v>50</v>
      </c>
      <c r="AD66" s="8" t="s">
        <v>50</v>
      </c>
      <c r="AE66" s="21" t="s">
        <v>50</v>
      </c>
      <c r="AF66" s="21" t="s">
        <v>50</v>
      </c>
      <c r="AG66" s="8" t="s">
        <v>50</v>
      </c>
      <c r="AH66" s="9"/>
      <c r="AI66" s="9"/>
      <c r="AJ66" s="8" t="s">
        <v>50</v>
      </c>
      <c r="AK66" s="8" t="s">
        <v>50</v>
      </c>
      <c r="AL66" s="21" t="s">
        <v>50</v>
      </c>
      <c r="AM66" s="21" t="s">
        <v>50</v>
      </c>
      <c r="AN66" s="8"/>
      <c r="AO66" s="9"/>
      <c r="AP66" s="9"/>
      <c r="AQ66" s="8"/>
      <c r="AR66" s="20" t="s">
        <v>50</v>
      </c>
      <c r="AS66" s="20" t="s">
        <v>50</v>
      </c>
      <c r="AT66" s="21"/>
      <c r="AU66" s="8" t="s">
        <v>53</v>
      </c>
      <c r="AV66" s="7" t="s">
        <v>53</v>
      </c>
      <c r="AW66" s="7" t="s">
        <v>53</v>
      </c>
      <c r="AX66" s="7" t="s">
        <v>53</v>
      </c>
      <c r="AY66" s="8"/>
      <c r="AZ66" s="21" t="s">
        <v>53</v>
      </c>
      <c r="BA66" s="20" t="s">
        <v>53</v>
      </c>
      <c r="BB66" s="7" t="s">
        <v>53</v>
      </c>
      <c r="BC66" s="7" t="s">
        <v>53</v>
      </c>
      <c r="BD66" s="34" t="s">
        <v>188</v>
      </c>
      <c r="BE66" s="22">
        <f>COUNTIF(Z66:BC66,"D*")</f>
        <v>12</v>
      </c>
      <c r="BF66" s="22">
        <f>COUNTIF(Z66:BC66,"E*")</f>
        <v>8</v>
      </c>
      <c r="BG66" s="22">
        <f>COUNTIF(Z66:BC66,"N*")</f>
        <v>0</v>
      </c>
      <c r="BH66" s="22">
        <f>SUM(BE66:BG66)</f>
        <v>20</v>
      </c>
      <c r="BI66" s="22">
        <f>COUNTIF(D66:Y66, "例")</f>
        <v>3</v>
      </c>
      <c r="BJ66" s="22">
        <f>COUNTIF(D66:Y66, "*息*")</f>
        <v>4</v>
      </c>
      <c r="BK66" s="22">
        <f>BI66+BJ66</f>
        <v>7</v>
      </c>
      <c r="BL66" s="22">
        <f>COUNTIF(Z66:AE66, "例")</f>
        <v>0</v>
      </c>
      <c r="BM66" s="22">
        <f>COUNTIF(Z66:AE66,"*息*")</f>
        <v>0</v>
      </c>
      <c r="BN66" s="22">
        <f>BL66+BM66</f>
        <v>0</v>
      </c>
      <c r="BO66" s="22">
        <f t="shared" si="33"/>
        <v>3</v>
      </c>
      <c r="BP66" s="22">
        <f t="shared" si="33"/>
        <v>4</v>
      </c>
      <c r="BQ66" s="22">
        <f t="shared" si="33"/>
        <v>7</v>
      </c>
      <c r="BR66" s="22">
        <f>COUNTIF(AF66:BC66,"例")</f>
        <v>0</v>
      </c>
      <c r="BS66" s="22">
        <f>COUNTIF(AF66:BC66,"*息*")</f>
        <v>0</v>
      </c>
      <c r="BT66" s="22">
        <f>SUM(BR66+BS66)</f>
        <v>0</v>
      </c>
      <c r="BU66" s="22">
        <f>COUNTIF(Z66:BC66,"*國*")</f>
        <v>0</v>
      </c>
      <c r="BV66" s="22">
        <f>COUNTIF(Z66:BC66,"例")</f>
        <v>0</v>
      </c>
      <c r="BW66" s="22">
        <f>COUNTIF(Z66:BC66,"息")</f>
        <v>0</v>
      </c>
      <c r="BX66" s="22">
        <f>COUNTIF(Z66:BC66,"國")</f>
        <v>0</v>
      </c>
      <c r="BY66" s="22">
        <f>COUNTIF(Z66:BC66,"補*")</f>
        <v>0</v>
      </c>
      <c r="BZ66" s="22">
        <f>COUNTIF(Z66:BC66,"特*")</f>
        <v>0</v>
      </c>
      <c r="CA66" s="22">
        <f>COUNTIF(Z66:BC66,"喪*")</f>
        <v>0</v>
      </c>
      <c r="CB66" s="22">
        <f>COUNTIF(Z66:BC66,"病")</f>
        <v>0</v>
      </c>
      <c r="CC66" s="22">
        <f>COUNTIF(Z66:BC66,"空")</f>
        <v>0</v>
      </c>
      <c r="CD66" s="22">
        <f>COUNTIF(Z66:BC66,"婚*")</f>
        <v>0</v>
      </c>
      <c r="CE66" s="22">
        <f>COUNTIF(Z66:BC66,"產檢")</f>
        <v>0</v>
      </c>
      <c r="CF66" s="22">
        <f>COUNTIF(Z66:BC66,"產*")</f>
        <v>0</v>
      </c>
      <c r="CG66" s="22">
        <f>COUNTIF(Z66:BC66,"公")</f>
        <v>0</v>
      </c>
      <c r="CH66" s="22">
        <f>COUNTIF(Z66:BC66, "")</f>
        <v>10</v>
      </c>
      <c r="CI66" s="34">
        <f>SUM(BV66:CH66)</f>
        <v>10</v>
      </c>
      <c r="CJ66" s="24">
        <f>COUNTIF(AE66:AF66,"")+COUNTIF(AL66:AM66,"")+COUNTIF(AR66:AT66,"")+ COUNTIF(AZ66:BA66,"")+ COUNTIF(AE66:AF66,"例")+COUNTIF(AL66:AM66,"例")+COUNTIF(AR66:AT66,"例")+COUNTIF(AZ66:BA66,"例")+ COUNTIF(AE66:AF66,"息")+COUNTIF(AL66:AM66,"息")+COUNTIF(AR66:AT66,"息")+ COUNTIF(AZ66:BA66,"息")+COUNTIF(AE66:AF66,"特")+COUNTIF(AL66:AM66,"特")+COUNTIF(AR66:AT66,"特")+COUNTIF(AZ66:BA66,"特")+COUNTIF(AE66:AF66,"補*")+COUNTIF(AL66:AM66,"補*")+COUNTIF(AR66:AT66,"補*")+COUNTIF(AZ66:BA66,"補*")+COUNTIF(AE66:AF66,"喪")+COUNTIF(AL66:AM66,"喪")+COUNTIF(AR66:AT66,"喪")+COUNTIF(AZ66:BA66,"喪")</f>
        <v>1</v>
      </c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</row>
    <row r="67" spans="1:156" s="3" customFormat="1" ht="49.5" customHeight="1">
      <c r="A67" s="38"/>
      <c r="B67" s="22">
        <v>5</v>
      </c>
      <c r="C67" s="34" t="s">
        <v>182</v>
      </c>
      <c r="D67" s="20" t="s">
        <v>7</v>
      </c>
      <c r="E67" s="20" t="s">
        <v>7</v>
      </c>
      <c r="F67" s="20" t="s">
        <v>7</v>
      </c>
      <c r="G67" s="20" t="s">
        <v>7</v>
      </c>
      <c r="H67" s="20" t="s">
        <v>46</v>
      </c>
      <c r="I67" s="20" t="s">
        <v>54</v>
      </c>
      <c r="J67" s="20" t="s">
        <v>7</v>
      </c>
      <c r="K67" s="20" t="s">
        <v>7</v>
      </c>
      <c r="L67" s="20" t="s">
        <v>7</v>
      </c>
      <c r="M67" s="20" t="s">
        <v>46</v>
      </c>
      <c r="N67" s="20" t="s">
        <v>8</v>
      </c>
      <c r="O67" s="20" t="s">
        <v>8</v>
      </c>
      <c r="P67" s="20" t="s">
        <v>8</v>
      </c>
      <c r="Q67" s="20" t="s">
        <v>48</v>
      </c>
      <c r="R67" s="20" t="s">
        <v>8</v>
      </c>
      <c r="S67" s="20" t="s">
        <v>8</v>
      </c>
      <c r="T67" s="20" t="s">
        <v>46</v>
      </c>
      <c r="U67" s="20" t="s">
        <v>62</v>
      </c>
      <c r="V67" s="20" t="s">
        <v>8</v>
      </c>
      <c r="W67" s="20" t="s">
        <v>8</v>
      </c>
      <c r="X67" s="20" t="s">
        <v>48</v>
      </c>
      <c r="Y67" s="20" t="s">
        <v>8</v>
      </c>
      <c r="Z67" s="7" t="s">
        <v>55</v>
      </c>
      <c r="AA67" s="9"/>
      <c r="AB67" s="9"/>
      <c r="AC67" s="7" t="s">
        <v>55</v>
      </c>
      <c r="AD67" s="7" t="s">
        <v>55</v>
      </c>
      <c r="AE67" s="20" t="s">
        <v>55</v>
      </c>
      <c r="AF67" s="20" t="s">
        <v>55</v>
      </c>
      <c r="AG67" s="7" t="s">
        <v>55</v>
      </c>
      <c r="AH67" s="8"/>
      <c r="AI67" s="7"/>
      <c r="AJ67" s="8" t="s">
        <v>55</v>
      </c>
      <c r="AK67" s="8" t="s">
        <v>55</v>
      </c>
      <c r="AL67" s="21" t="s">
        <v>55</v>
      </c>
      <c r="AM67" s="20" t="s">
        <v>55</v>
      </c>
      <c r="AN67" s="7"/>
      <c r="AO67" s="7" t="s">
        <v>55</v>
      </c>
      <c r="AP67" s="8" t="s">
        <v>55</v>
      </c>
      <c r="AQ67" s="8" t="s">
        <v>55</v>
      </c>
      <c r="AR67" s="21"/>
      <c r="AS67" s="21"/>
      <c r="AT67" s="21"/>
      <c r="AU67" s="8"/>
      <c r="AV67" s="7" t="s">
        <v>50</v>
      </c>
      <c r="AW67" s="7" t="s">
        <v>50</v>
      </c>
      <c r="AX67" s="8" t="s">
        <v>50</v>
      </c>
      <c r="AY67" s="7" t="s">
        <v>50</v>
      </c>
      <c r="AZ67" s="20"/>
      <c r="BA67" s="20" t="s">
        <v>50</v>
      </c>
      <c r="BB67" s="7" t="s">
        <v>50</v>
      </c>
      <c r="BC67" s="7" t="s">
        <v>50</v>
      </c>
      <c r="BD67" s="37" t="s">
        <v>181</v>
      </c>
      <c r="BE67" s="22">
        <f t="shared" si="28"/>
        <v>7</v>
      </c>
      <c r="BF67" s="22">
        <f t="shared" si="0"/>
        <v>0</v>
      </c>
      <c r="BG67" s="22">
        <f t="shared" si="1"/>
        <v>13</v>
      </c>
      <c r="BH67" s="22">
        <f t="shared" si="2"/>
        <v>20</v>
      </c>
      <c r="BI67" s="22">
        <f t="shared" si="3"/>
        <v>3</v>
      </c>
      <c r="BJ67" s="22">
        <f t="shared" si="4"/>
        <v>4</v>
      </c>
      <c r="BK67" s="22">
        <f t="shared" si="5"/>
        <v>7</v>
      </c>
      <c r="BL67" s="22">
        <f t="shared" si="6"/>
        <v>0</v>
      </c>
      <c r="BM67" s="22">
        <f t="shared" si="7"/>
        <v>0</v>
      </c>
      <c r="BN67" s="22">
        <f t="shared" si="8"/>
        <v>0</v>
      </c>
      <c r="BO67" s="22">
        <f t="shared" ref="BO67:BQ74" si="34">BI67+BL67</f>
        <v>3</v>
      </c>
      <c r="BP67" s="22">
        <f t="shared" si="34"/>
        <v>4</v>
      </c>
      <c r="BQ67" s="22">
        <f t="shared" si="34"/>
        <v>7</v>
      </c>
      <c r="BR67" s="22">
        <f t="shared" si="10"/>
        <v>0</v>
      </c>
      <c r="BS67" s="22">
        <f t="shared" si="11"/>
        <v>0</v>
      </c>
      <c r="BT67" s="22">
        <f t="shared" si="12"/>
        <v>0</v>
      </c>
      <c r="BU67" s="22">
        <f t="shared" si="13"/>
        <v>0</v>
      </c>
      <c r="BV67" s="22">
        <f t="shared" si="14"/>
        <v>0</v>
      </c>
      <c r="BW67" s="22">
        <f t="shared" si="15"/>
        <v>0</v>
      </c>
      <c r="BX67" s="22">
        <f t="shared" si="16"/>
        <v>0</v>
      </c>
      <c r="BY67" s="22">
        <f t="shared" si="17"/>
        <v>0</v>
      </c>
      <c r="BZ67" s="22">
        <f t="shared" si="18"/>
        <v>0</v>
      </c>
      <c r="CA67" s="22">
        <f t="shared" si="19"/>
        <v>0</v>
      </c>
      <c r="CB67" s="22">
        <f t="shared" si="20"/>
        <v>0</v>
      </c>
      <c r="CC67" s="22">
        <f t="shared" si="21"/>
        <v>0</v>
      </c>
      <c r="CD67" s="22">
        <f t="shared" si="22"/>
        <v>0</v>
      </c>
      <c r="CE67" s="22">
        <f t="shared" si="23"/>
        <v>0</v>
      </c>
      <c r="CF67" s="22">
        <f t="shared" si="24"/>
        <v>0</v>
      </c>
      <c r="CG67" s="22">
        <f t="shared" si="25"/>
        <v>0</v>
      </c>
      <c r="CH67" s="22">
        <f t="shared" si="26"/>
        <v>10</v>
      </c>
      <c r="CI67" s="34">
        <f t="shared" si="27"/>
        <v>10</v>
      </c>
      <c r="CJ67" s="24">
        <f t="shared" si="29"/>
        <v>4</v>
      </c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</row>
    <row r="68" spans="1:156" s="3" customFormat="1" ht="49.5" customHeight="1">
      <c r="A68" s="38"/>
      <c r="B68" s="22">
        <v>6</v>
      </c>
      <c r="C68" s="34" t="s">
        <v>183</v>
      </c>
      <c r="D68" s="20" t="s">
        <v>46</v>
      </c>
      <c r="E68" s="20" t="s">
        <v>8</v>
      </c>
      <c r="F68" s="20" t="s">
        <v>8</v>
      </c>
      <c r="G68" s="21" t="s">
        <v>8</v>
      </c>
      <c r="H68" s="21" t="s">
        <v>8</v>
      </c>
      <c r="I68" s="21" t="s">
        <v>48</v>
      </c>
      <c r="J68" s="21" t="s">
        <v>48</v>
      </c>
      <c r="K68" s="21" t="s">
        <v>46</v>
      </c>
      <c r="L68" s="20" t="s">
        <v>48</v>
      </c>
      <c r="M68" s="20" t="s">
        <v>48</v>
      </c>
      <c r="N68" s="21" t="s">
        <v>51</v>
      </c>
      <c r="O68" s="21" t="s">
        <v>51</v>
      </c>
      <c r="P68" s="21" t="s">
        <v>56</v>
      </c>
      <c r="Q68" s="21" t="s">
        <v>51</v>
      </c>
      <c r="R68" s="21" t="s">
        <v>51</v>
      </c>
      <c r="S68" s="21" t="s">
        <v>51</v>
      </c>
      <c r="T68" s="21" t="s">
        <v>51</v>
      </c>
      <c r="U68" s="20" t="s">
        <v>46</v>
      </c>
      <c r="V68" s="20" t="s">
        <v>51</v>
      </c>
      <c r="W68" s="21" t="s">
        <v>51</v>
      </c>
      <c r="X68" s="21" t="s">
        <v>51</v>
      </c>
      <c r="Y68" s="21" t="s">
        <v>51</v>
      </c>
      <c r="Z68" s="8" t="s">
        <v>50</v>
      </c>
      <c r="AA68" s="8"/>
      <c r="AB68" s="8" t="s">
        <v>50</v>
      </c>
      <c r="AC68" s="8" t="s">
        <v>50</v>
      </c>
      <c r="AD68" s="7"/>
      <c r="AE68" s="21" t="s">
        <v>50</v>
      </c>
      <c r="AF68" s="21" t="s">
        <v>50</v>
      </c>
      <c r="AG68" s="8" t="s">
        <v>50</v>
      </c>
      <c r="AH68" s="7" t="s">
        <v>50</v>
      </c>
      <c r="AI68" s="7"/>
      <c r="AJ68" s="8" t="s">
        <v>50</v>
      </c>
      <c r="AK68" s="8" t="s">
        <v>50</v>
      </c>
      <c r="AL68" s="21" t="s">
        <v>55</v>
      </c>
      <c r="AM68" s="21" t="s">
        <v>55</v>
      </c>
      <c r="AN68" s="7" t="s">
        <v>55</v>
      </c>
      <c r="AO68" s="8"/>
      <c r="AP68" s="7" t="s">
        <v>55</v>
      </c>
      <c r="AQ68" s="8" t="s">
        <v>8</v>
      </c>
      <c r="AR68" s="21" t="s">
        <v>55</v>
      </c>
      <c r="AS68" s="21" t="s">
        <v>8</v>
      </c>
      <c r="AT68" s="21"/>
      <c r="AU68" s="8" t="s">
        <v>55</v>
      </c>
      <c r="AV68" s="7" t="s">
        <v>55</v>
      </c>
      <c r="AW68" s="7" t="s">
        <v>55</v>
      </c>
      <c r="AX68" s="7"/>
      <c r="AY68" s="10"/>
      <c r="AZ68" s="20"/>
      <c r="BA68" s="20"/>
      <c r="BB68" s="10"/>
      <c r="BC68" s="10"/>
      <c r="BD68" s="34" t="s">
        <v>183</v>
      </c>
      <c r="BE68" s="22">
        <f t="shared" ref="BE68:BE74" si="35">COUNTIF(Z68:BC68,"D*")</f>
        <v>9</v>
      </c>
      <c r="BF68" s="22">
        <f t="shared" ref="BF68:BF74" si="36">COUNTIF(Z68:BC68,"E*")</f>
        <v>0</v>
      </c>
      <c r="BG68" s="22">
        <f t="shared" ref="BG68:BG74" si="37">COUNTIF(Z68:BC68,"N*")</f>
        <v>10</v>
      </c>
      <c r="BH68" s="22">
        <f t="shared" ref="BH68:BH74" si="38">SUM(BE68:BG68)</f>
        <v>19</v>
      </c>
      <c r="BI68" s="22">
        <f t="shared" ref="BI68:BI74" si="39">COUNTIF(D68:Y68, "例")</f>
        <v>3</v>
      </c>
      <c r="BJ68" s="22">
        <f t="shared" ref="BJ68:BJ74" si="40">COUNTIF(D68:Y68, "*息*")</f>
        <v>4</v>
      </c>
      <c r="BK68" s="22">
        <f t="shared" ref="BK68:BK74" si="41">BI68+BJ68</f>
        <v>7</v>
      </c>
      <c r="BL68" s="22">
        <f t="shared" ref="BL68:BL74" si="42">COUNTIF(Z68:AE68, "例")</f>
        <v>0</v>
      </c>
      <c r="BM68" s="22">
        <f t="shared" ref="BM68:BM74" si="43">COUNTIF(Z68:AE68,"*息*")</f>
        <v>0</v>
      </c>
      <c r="BN68" s="22">
        <f t="shared" ref="BN68:BN74" si="44">BL68+BM68</f>
        <v>0</v>
      </c>
      <c r="BO68" s="22">
        <f t="shared" si="34"/>
        <v>3</v>
      </c>
      <c r="BP68" s="22">
        <f t="shared" si="34"/>
        <v>4</v>
      </c>
      <c r="BQ68" s="22">
        <f t="shared" si="34"/>
        <v>7</v>
      </c>
      <c r="BR68" s="22">
        <f t="shared" ref="BR68:BR74" si="45">COUNTIF(AF68:BC68,"例")</f>
        <v>0</v>
      </c>
      <c r="BS68" s="22">
        <f t="shared" ref="BS68:BS74" si="46">COUNTIF(AF68:BC68,"*息*")</f>
        <v>0</v>
      </c>
      <c r="BT68" s="22">
        <f t="shared" ref="BT68:BT74" si="47">SUM(BR68+BS68)</f>
        <v>0</v>
      </c>
      <c r="BU68" s="22">
        <f t="shared" ref="BU68:BU74" si="48">COUNTIF(Z68:BC68,"*國*")</f>
        <v>0</v>
      </c>
      <c r="BV68" s="22">
        <f t="shared" ref="BV68:BV74" si="49">COUNTIF(Z68:BC68,"例")</f>
        <v>0</v>
      </c>
      <c r="BW68" s="22">
        <f t="shared" ref="BW68:BW74" si="50">COUNTIF(Z68:BC68,"息")</f>
        <v>0</v>
      </c>
      <c r="BX68" s="22">
        <f t="shared" ref="BX68:BX74" si="51">COUNTIF(Z68:BC68,"國")</f>
        <v>0</v>
      </c>
      <c r="BY68" s="22">
        <f t="shared" ref="BY68:BY74" si="52">COUNTIF(Z68:BC68,"補*")</f>
        <v>0</v>
      </c>
      <c r="BZ68" s="22">
        <f t="shared" ref="BZ68:BZ74" si="53">COUNTIF(Z68:BC68,"特*")</f>
        <v>0</v>
      </c>
      <c r="CA68" s="22">
        <f t="shared" ref="CA68:CA74" si="54">COUNTIF(Z68:BC68,"喪*")</f>
        <v>0</v>
      </c>
      <c r="CB68" s="22">
        <f t="shared" ref="CB68:CB74" si="55">COUNTIF(Z68:BC68,"病")</f>
        <v>0</v>
      </c>
      <c r="CC68" s="22">
        <f t="shared" ref="CC68:CC74" si="56">COUNTIF(Z68:BC68,"空")</f>
        <v>0</v>
      </c>
      <c r="CD68" s="22">
        <f t="shared" ref="CD68:CD74" si="57">COUNTIF(Z68:BC68,"婚*")</f>
        <v>0</v>
      </c>
      <c r="CE68" s="22">
        <f t="shared" ref="CE68:CE74" si="58">COUNTIF(Z68:BC68,"產檢")</f>
        <v>0</v>
      </c>
      <c r="CF68" s="22">
        <f t="shared" ref="CF68:CF74" si="59">COUNTIF(Z68:BC68,"產*")</f>
        <v>0</v>
      </c>
      <c r="CG68" s="22">
        <f t="shared" ref="CG68:CG74" si="60">COUNTIF(Z68:BC68,"公")</f>
        <v>0</v>
      </c>
      <c r="CH68" s="22">
        <f t="shared" ref="CH68:CH74" si="61">COUNTIF(Z68:BC68, "")</f>
        <v>11</v>
      </c>
      <c r="CI68" s="34">
        <f t="shared" ref="CI68:CI74" si="62">SUM(BV68:CH68)</f>
        <v>11</v>
      </c>
      <c r="CJ68" s="24">
        <f t="shared" si="29"/>
        <v>3</v>
      </c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</row>
    <row r="69" spans="1:156" s="3" customFormat="1" ht="49.5" customHeight="1">
      <c r="A69" s="38"/>
      <c r="B69" s="22">
        <v>7</v>
      </c>
      <c r="C69" s="34" t="s">
        <v>184</v>
      </c>
      <c r="D69" s="21" t="s">
        <v>51</v>
      </c>
      <c r="E69" s="21" t="s">
        <v>51</v>
      </c>
      <c r="F69" s="21" t="s">
        <v>51</v>
      </c>
      <c r="G69" s="20" t="s">
        <v>51</v>
      </c>
      <c r="H69" s="20" t="s">
        <v>51</v>
      </c>
      <c r="I69" s="20" t="s">
        <v>46</v>
      </c>
      <c r="J69" s="20" t="s">
        <v>48</v>
      </c>
      <c r="K69" s="20" t="s">
        <v>46</v>
      </c>
      <c r="L69" s="20" t="s">
        <v>8</v>
      </c>
      <c r="M69" s="21" t="s">
        <v>8</v>
      </c>
      <c r="N69" s="20" t="s">
        <v>48</v>
      </c>
      <c r="O69" s="21" t="s">
        <v>48</v>
      </c>
      <c r="P69" s="21" t="s">
        <v>8</v>
      </c>
      <c r="Q69" s="21" t="s">
        <v>8</v>
      </c>
      <c r="R69" s="21" t="s">
        <v>8</v>
      </c>
      <c r="S69" s="21" t="s">
        <v>8</v>
      </c>
      <c r="T69" s="21" t="s">
        <v>46</v>
      </c>
      <c r="U69" s="20" t="s">
        <v>48</v>
      </c>
      <c r="V69" s="21" t="s">
        <v>8</v>
      </c>
      <c r="W69" s="21" t="s">
        <v>8</v>
      </c>
      <c r="X69" s="20" t="s">
        <v>8</v>
      </c>
      <c r="Y69" s="20" t="s">
        <v>8</v>
      </c>
      <c r="Z69" s="59"/>
      <c r="AA69" s="8" t="s">
        <v>55</v>
      </c>
      <c r="AB69" s="8" t="s">
        <v>55</v>
      </c>
      <c r="AC69" s="8" t="s">
        <v>55</v>
      </c>
      <c r="AD69" s="10"/>
      <c r="AE69" s="21" t="s">
        <v>55</v>
      </c>
      <c r="AF69" s="20" t="s">
        <v>55</v>
      </c>
      <c r="AG69" s="7" t="s">
        <v>55</v>
      </c>
      <c r="AH69" s="8" t="s">
        <v>55</v>
      </c>
      <c r="AI69" s="10"/>
      <c r="AJ69" s="8" t="s">
        <v>55</v>
      </c>
      <c r="AK69" s="8" t="s">
        <v>55</v>
      </c>
      <c r="AL69" s="21"/>
      <c r="AM69" s="21"/>
      <c r="AN69" s="8" t="s">
        <v>50</v>
      </c>
      <c r="AO69" s="8" t="s">
        <v>50</v>
      </c>
      <c r="AP69" s="10"/>
      <c r="AQ69" s="10"/>
      <c r="AR69" s="21" t="s">
        <v>50</v>
      </c>
      <c r="AS69" s="20" t="s">
        <v>50</v>
      </c>
      <c r="AT69" s="20" t="s">
        <v>50</v>
      </c>
      <c r="AU69" s="7" t="s">
        <v>50</v>
      </c>
      <c r="AV69" s="10"/>
      <c r="AW69" s="8" t="s">
        <v>50</v>
      </c>
      <c r="AX69" s="8" t="s">
        <v>50</v>
      </c>
      <c r="AY69" s="8"/>
      <c r="AZ69" s="21" t="s">
        <v>50</v>
      </c>
      <c r="BA69" s="21" t="s">
        <v>50</v>
      </c>
      <c r="BB69" s="8" t="s">
        <v>50</v>
      </c>
      <c r="BC69" s="8"/>
      <c r="BD69" s="34" t="s">
        <v>190</v>
      </c>
      <c r="BE69" s="22">
        <f>COUNTIF(Z69:BC69,"D*")</f>
        <v>11</v>
      </c>
      <c r="BF69" s="22">
        <f>COUNTIF(Z69:BC69,"E*")</f>
        <v>0</v>
      </c>
      <c r="BG69" s="22">
        <f>COUNTIF(Z69:BC69,"N*")</f>
        <v>9</v>
      </c>
      <c r="BH69" s="22">
        <f>SUM(BE69:BG69)</f>
        <v>20</v>
      </c>
      <c r="BI69" s="22">
        <f>COUNTIF(D69:Y69, "例")</f>
        <v>3</v>
      </c>
      <c r="BJ69" s="22">
        <f>COUNTIF(D69:Y69, "*息*")</f>
        <v>4</v>
      </c>
      <c r="BK69" s="22">
        <f>BI69+BJ69</f>
        <v>7</v>
      </c>
      <c r="BL69" s="22">
        <f>COUNTIF(Z69:AE69, "例")</f>
        <v>0</v>
      </c>
      <c r="BM69" s="22">
        <f>COUNTIF(Z69:AE69,"*息*")</f>
        <v>0</v>
      </c>
      <c r="BN69" s="22">
        <f>BL69+BM69</f>
        <v>0</v>
      </c>
      <c r="BO69" s="22">
        <f t="shared" ref="BO69:BQ70" si="63">BI69+BL69</f>
        <v>3</v>
      </c>
      <c r="BP69" s="22">
        <f t="shared" si="63"/>
        <v>4</v>
      </c>
      <c r="BQ69" s="22">
        <f t="shared" si="63"/>
        <v>7</v>
      </c>
      <c r="BR69" s="22">
        <f>COUNTIF(AF69:BC69,"例")</f>
        <v>0</v>
      </c>
      <c r="BS69" s="22">
        <f>COUNTIF(AF69:BC69,"*息*")</f>
        <v>0</v>
      </c>
      <c r="BT69" s="22">
        <f>SUM(BR69+BS69)</f>
        <v>0</v>
      </c>
      <c r="BU69" s="22">
        <f>COUNTIF(Z69:BC69,"*國*")</f>
        <v>0</v>
      </c>
      <c r="BV69" s="22">
        <f>COUNTIF(Z69:BC69,"例")</f>
        <v>0</v>
      </c>
      <c r="BW69" s="22">
        <f>COUNTIF(Z69:BC69,"息")</f>
        <v>0</v>
      </c>
      <c r="BX69" s="22">
        <f>COUNTIF(Z69:BC69,"國")</f>
        <v>0</v>
      </c>
      <c r="BY69" s="22">
        <f>COUNTIF(Z69:BC69,"補*")</f>
        <v>0</v>
      </c>
      <c r="BZ69" s="22">
        <f>COUNTIF(Z69:BC69,"特*")</f>
        <v>0</v>
      </c>
      <c r="CA69" s="22">
        <f>COUNTIF(Z69:BC69,"喪*")</f>
        <v>0</v>
      </c>
      <c r="CB69" s="22">
        <f>COUNTIF(Z69:BC69,"病")</f>
        <v>0</v>
      </c>
      <c r="CC69" s="22">
        <f>COUNTIF(Z69:BC69,"空")</f>
        <v>0</v>
      </c>
      <c r="CD69" s="22">
        <f>COUNTIF(Z69:BC69,"婚*")</f>
        <v>0</v>
      </c>
      <c r="CE69" s="22">
        <f>COUNTIF(Z69:BC69,"產檢")</f>
        <v>0</v>
      </c>
      <c r="CF69" s="22">
        <f>COUNTIF(Z69:BC69,"產*")</f>
        <v>0</v>
      </c>
      <c r="CG69" s="22">
        <f>COUNTIF(Z69:BC69,"公")</f>
        <v>0</v>
      </c>
      <c r="CH69" s="22">
        <f>COUNTIF(Z69:BC69, "")</f>
        <v>10</v>
      </c>
      <c r="CI69" s="34">
        <f>SUM(BV69:CH69)</f>
        <v>10</v>
      </c>
      <c r="CJ69" s="24">
        <f>COUNTIF(AE69:AF69,"")+COUNTIF(AL69:AM69,"")+COUNTIF(AR69:AT69,"")+ COUNTIF(AZ69:BA69,"")+ COUNTIF(AE69:AF69,"例")+COUNTIF(AL69:AM69,"例")+COUNTIF(AR69:AT69,"例")+COUNTIF(AZ69:BA69,"例")+ COUNTIF(AE69:AF69,"息")+COUNTIF(AL69:AM69,"息")+COUNTIF(AR69:AT69,"息")+ COUNTIF(AZ69:BA69,"息")+COUNTIF(AE69:AF69,"特")+COUNTIF(AL69:AM69,"特")+COUNTIF(AR69:AT69,"特")+COUNTIF(AZ69:BA69,"特")+COUNTIF(AE69:AF69,"補*")+COUNTIF(AL69:AM69,"補*")+COUNTIF(AR69:AT69,"補*")+COUNTIF(AZ69:BA69,"補*")+COUNTIF(AE69:AF69,"喪")+COUNTIF(AL69:AM69,"喪")+COUNTIF(AR69:AT69,"喪")+COUNTIF(AZ69:BA69,"喪")</f>
        <v>2</v>
      </c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</row>
    <row r="70" spans="1:156" s="3" customFormat="1" ht="49.5" customHeight="1">
      <c r="A70" s="38"/>
      <c r="B70" s="22">
        <v>8</v>
      </c>
      <c r="C70" s="34" t="s">
        <v>185</v>
      </c>
      <c r="D70" s="20" t="s">
        <v>51</v>
      </c>
      <c r="E70" s="20" t="s">
        <v>46</v>
      </c>
      <c r="F70" s="20" t="s">
        <v>51</v>
      </c>
      <c r="G70" s="20" t="s">
        <v>51</v>
      </c>
      <c r="H70" s="20" t="s">
        <v>51</v>
      </c>
      <c r="I70" s="20" t="s">
        <v>48</v>
      </c>
      <c r="J70" s="20" t="s">
        <v>48</v>
      </c>
      <c r="K70" s="21" t="s">
        <v>46</v>
      </c>
      <c r="L70" s="21" t="s">
        <v>48</v>
      </c>
      <c r="M70" s="20" t="s">
        <v>7</v>
      </c>
      <c r="N70" s="20" t="s">
        <v>7</v>
      </c>
      <c r="O70" s="20" t="s">
        <v>7</v>
      </c>
      <c r="P70" s="20" t="s">
        <v>7</v>
      </c>
      <c r="Q70" s="20" t="s">
        <v>7</v>
      </c>
      <c r="R70" s="20" t="s">
        <v>46</v>
      </c>
      <c r="S70" s="21" t="s">
        <v>7</v>
      </c>
      <c r="T70" s="21" t="s">
        <v>7</v>
      </c>
      <c r="U70" s="20" t="s">
        <v>48</v>
      </c>
      <c r="V70" s="20" t="s">
        <v>7</v>
      </c>
      <c r="W70" s="20" t="s">
        <v>7</v>
      </c>
      <c r="X70" s="20" t="s">
        <v>7</v>
      </c>
      <c r="Y70" s="20" t="s">
        <v>7</v>
      </c>
      <c r="Z70" s="9"/>
      <c r="AA70" s="9"/>
      <c r="AB70" s="7" t="s">
        <v>53</v>
      </c>
      <c r="AC70" s="8" t="s">
        <v>53</v>
      </c>
      <c r="AD70" s="7" t="s">
        <v>53</v>
      </c>
      <c r="AE70" s="21"/>
      <c r="AF70" s="21"/>
      <c r="AG70" s="8" t="s">
        <v>53</v>
      </c>
      <c r="AH70" s="8" t="s">
        <v>53</v>
      </c>
      <c r="AI70" s="8" t="s">
        <v>53</v>
      </c>
      <c r="AJ70" s="8" t="s">
        <v>53</v>
      </c>
      <c r="AK70" s="8" t="s">
        <v>53</v>
      </c>
      <c r="AL70" s="21"/>
      <c r="AM70" s="21" t="s">
        <v>50</v>
      </c>
      <c r="AN70" s="8" t="s">
        <v>50</v>
      </c>
      <c r="AO70" s="7" t="s">
        <v>50</v>
      </c>
      <c r="AP70" s="7" t="s">
        <v>51</v>
      </c>
      <c r="AQ70" s="8" t="s">
        <v>50</v>
      </c>
      <c r="AR70" s="21"/>
      <c r="AS70" s="21"/>
      <c r="AT70" s="21" t="s">
        <v>50</v>
      </c>
      <c r="AU70" s="8" t="s">
        <v>50</v>
      </c>
      <c r="AV70" s="8"/>
      <c r="AW70" s="8"/>
      <c r="AX70" s="7"/>
      <c r="AY70" s="8" t="s">
        <v>50</v>
      </c>
      <c r="AZ70" s="21" t="s">
        <v>50</v>
      </c>
      <c r="BA70" s="20" t="s">
        <v>51</v>
      </c>
      <c r="BB70" s="7" t="s">
        <v>51</v>
      </c>
      <c r="BC70" s="7" t="s">
        <v>50</v>
      </c>
      <c r="BD70" s="34" t="s">
        <v>179</v>
      </c>
      <c r="BE70" s="22">
        <f>COUNTIF(Z70:BC70,"D*")</f>
        <v>12</v>
      </c>
      <c r="BF70" s="22">
        <f>COUNTIF(Z70:BC70,"E*")</f>
        <v>8</v>
      </c>
      <c r="BG70" s="22">
        <f>COUNTIF(Z70:BC70,"N*")</f>
        <v>0</v>
      </c>
      <c r="BH70" s="22">
        <f>SUM(BE70:BG70)</f>
        <v>20</v>
      </c>
      <c r="BI70" s="22">
        <f>COUNTIF(D70:Y70, "例")</f>
        <v>3</v>
      </c>
      <c r="BJ70" s="22">
        <f>COUNTIF(D70:Y70, "*息*")</f>
        <v>4</v>
      </c>
      <c r="BK70" s="22">
        <f>BI70+BJ70</f>
        <v>7</v>
      </c>
      <c r="BL70" s="22">
        <f>COUNTIF(Z70:AE70, "例")</f>
        <v>0</v>
      </c>
      <c r="BM70" s="22">
        <f>COUNTIF(Z70:AE70,"*息*")</f>
        <v>0</v>
      </c>
      <c r="BN70" s="22">
        <f>BL70+BM70</f>
        <v>0</v>
      </c>
      <c r="BO70" s="22">
        <f t="shared" si="63"/>
        <v>3</v>
      </c>
      <c r="BP70" s="22">
        <f t="shared" si="63"/>
        <v>4</v>
      </c>
      <c r="BQ70" s="22">
        <f t="shared" si="63"/>
        <v>7</v>
      </c>
      <c r="BR70" s="22">
        <f>COUNTIF(AF70:BC70,"例")</f>
        <v>0</v>
      </c>
      <c r="BS70" s="22">
        <f>COUNTIF(AF70:BC70,"*息*")</f>
        <v>0</v>
      </c>
      <c r="BT70" s="22">
        <f>SUM(BR70+BS70)</f>
        <v>0</v>
      </c>
      <c r="BU70" s="22">
        <f>COUNTIF(Z70:BC70,"*國*")</f>
        <v>0</v>
      </c>
      <c r="BV70" s="22">
        <f>COUNTIF(Z70:BC70,"例")</f>
        <v>0</v>
      </c>
      <c r="BW70" s="22">
        <f>COUNTIF(Z70:BC70,"息")</f>
        <v>0</v>
      </c>
      <c r="BX70" s="22">
        <f>COUNTIF(Z70:BC70,"國")</f>
        <v>0</v>
      </c>
      <c r="BY70" s="22">
        <f>COUNTIF(Z70:BC70,"補*")</f>
        <v>0</v>
      </c>
      <c r="BZ70" s="22">
        <f>COUNTIF(Z70:BC70,"特*")</f>
        <v>0</v>
      </c>
      <c r="CA70" s="22">
        <f>COUNTIF(Z70:BC70,"喪*")</f>
        <v>0</v>
      </c>
      <c r="CB70" s="22">
        <f>COUNTIF(Z70:BC70,"病")</f>
        <v>0</v>
      </c>
      <c r="CC70" s="22">
        <f>COUNTIF(Z70:BC70,"空")</f>
        <v>0</v>
      </c>
      <c r="CD70" s="22">
        <f>COUNTIF(Z70:BC70,"婚*")</f>
        <v>0</v>
      </c>
      <c r="CE70" s="22">
        <f>COUNTIF(Z70:BC70,"產檢")</f>
        <v>0</v>
      </c>
      <c r="CF70" s="22">
        <f>COUNTIF(Z70:BC70,"產*")</f>
        <v>0</v>
      </c>
      <c r="CG70" s="22">
        <f>COUNTIF(Z70:BC70,"公")</f>
        <v>0</v>
      </c>
      <c r="CH70" s="22">
        <f>COUNTIF(Z70:BC70, "")</f>
        <v>10</v>
      </c>
      <c r="CI70" s="34">
        <f>SUM(BV70:CH70)</f>
        <v>10</v>
      </c>
      <c r="CJ70" s="24">
        <f>COUNTIF(AE70:AF70,"")+COUNTIF(AL70:AM70,"")+COUNTIF(AR70:AT70,"")+ COUNTIF(AZ70:BA70,"")+ COUNTIF(AE70:AF70,"例")+COUNTIF(AL70:AM70,"例")+COUNTIF(AR70:AT70,"例")+COUNTIF(AZ70:BA70,"例")+ COUNTIF(AE70:AF70,"息")+COUNTIF(AL70:AM70,"息")+COUNTIF(AR70:AT70,"息")+ COUNTIF(AZ70:BA70,"息")+COUNTIF(AE70:AF70,"特")+COUNTIF(AL70:AM70,"特")+COUNTIF(AR70:AT70,"特")+COUNTIF(AZ70:BA70,"特")+COUNTIF(AE70:AF70,"補*")+COUNTIF(AL70:AM70,"補*")+COUNTIF(AR70:AT70,"補*")+COUNTIF(AZ70:BA70,"補*")+COUNTIF(AE70:AF70,"喪")+COUNTIF(AL70:AM70,"喪")+COUNTIF(AR70:AT70,"喪")+COUNTIF(AZ70:BA70,"喪")</f>
        <v>5</v>
      </c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</row>
    <row r="71" spans="1:156" s="3" customFormat="1" ht="49.5" customHeight="1">
      <c r="A71" s="38"/>
      <c r="B71" s="22">
        <v>9</v>
      </c>
      <c r="C71" s="34" t="s">
        <v>186</v>
      </c>
      <c r="D71" s="21" t="s">
        <v>8</v>
      </c>
      <c r="E71" s="21" t="s">
        <v>8</v>
      </c>
      <c r="F71" s="20" t="s">
        <v>46</v>
      </c>
      <c r="G71" s="20" t="s">
        <v>46</v>
      </c>
      <c r="H71" s="20" t="s">
        <v>8</v>
      </c>
      <c r="I71" s="21" t="s">
        <v>8</v>
      </c>
      <c r="J71" s="21" t="s">
        <v>8</v>
      </c>
      <c r="K71" s="21" t="s">
        <v>62</v>
      </c>
      <c r="L71" s="20" t="s">
        <v>48</v>
      </c>
      <c r="M71" s="20" t="s">
        <v>7</v>
      </c>
      <c r="N71" s="20" t="s">
        <v>7</v>
      </c>
      <c r="O71" s="21" t="s">
        <v>7</v>
      </c>
      <c r="P71" s="21" t="s">
        <v>48</v>
      </c>
      <c r="Q71" s="21" t="s">
        <v>7</v>
      </c>
      <c r="R71" s="21" t="s">
        <v>7</v>
      </c>
      <c r="S71" s="21" t="s">
        <v>7</v>
      </c>
      <c r="T71" s="21" t="s">
        <v>7</v>
      </c>
      <c r="U71" s="20" t="s">
        <v>7</v>
      </c>
      <c r="V71" s="21" t="s">
        <v>46</v>
      </c>
      <c r="W71" s="21" t="s">
        <v>7</v>
      </c>
      <c r="X71" s="21" t="s">
        <v>7</v>
      </c>
      <c r="Y71" s="21" t="s">
        <v>46</v>
      </c>
      <c r="Z71" s="8" t="s">
        <v>50</v>
      </c>
      <c r="AA71" s="8" t="s">
        <v>50</v>
      </c>
      <c r="AB71" s="8" t="s">
        <v>50</v>
      </c>
      <c r="AC71" s="8"/>
      <c r="AD71" s="8" t="s">
        <v>50</v>
      </c>
      <c r="AE71" s="21" t="s">
        <v>50</v>
      </c>
      <c r="AF71" s="21" t="s">
        <v>50</v>
      </c>
      <c r="AG71" s="7" t="s">
        <v>50</v>
      </c>
      <c r="AH71" s="7"/>
      <c r="AI71" s="8" t="s">
        <v>55</v>
      </c>
      <c r="AJ71" s="8" t="s">
        <v>55</v>
      </c>
      <c r="AK71" s="7" t="s">
        <v>55</v>
      </c>
      <c r="AL71" s="20"/>
      <c r="AM71" s="21" t="s">
        <v>8</v>
      </c>
      <c r="AN71" s="8" t="s">
        <v>55</v>
      </c>
      <c r="AO71" s="8" t="s">
        <v>55</v>
      </c>
      <c r="AP71" s="8"/>
      <c r="AQ71" s="8"/>
      <c r="AR71" s="20"/>
      <c r="AS71" s="21"/>
      <c r="AT71" s="21" t="s">
        <v>55</v>
      </c>
      <c r="AU71" s="8" t="s">
        <v>55</v>
      </c>
      <c r="AV71" s="8"/>
      <c r="AW71" s="7"/>
      <c r="AX71" s="7" t="s">
        <v>55</v>
      </c>
      <c r="AY71" s="8" t="s">
        <v>8</v>
      </c>
      <c r="AZ71" s="21" t="s">
        <v>55</v>
      </c>
      <c r="BA71" s="21" t="s">
        <v>55</v>
      </c>
      <c r="BB71" s="8" t="s">
        <v>55</v>
      </c>
      <c r="BC71" s="8"/>
      <c r="BD71" s="35" t="s">
        <v>185</v>
      </c>
      <c r="BE71" s="22">
        <f t="shared" si="35"/>
        <v>7</v>
      </c>
      <c r="BF71" s="22">
        <f t="shared" si="36"/>
        <v>0</v>
      </c>
      <c r="BG71" s="22">
        <f t="shared" si="37"/>
        <v>13</v>
      </c>
      <c r="BH71" s="22">
        <f t="shared" si="38"/>
        <v>20</v>
      </c>
      <c r="BI71" s="22">
        <f t="shared" si="39"/>
        <v>4</v>
      </c>
      <c r="BJ71" s="22">
        <f t="shared" si="40"/>
        <v>3</v>
      </c>
      <c r="BK71" s="22">
        <f t="shared" si="41"/>
        <v>7</v>
      </c>
      <c r="BL71" s="22">
        <f t="shared" si="42"/>
        <v>0</v>
      </c>
      <c r="BM71" s="22">
        <f t="shared" si="43"/>
        <v>0</v>
      </c>
      <c r="BN71" s="22">
        <f t="shared" si="44"/>
        <v>0</v>
      </c>
      <c r="BO71" s="22">
        <f t="shared" si="34"/>
        <v>4</v>
      </c>
      <c r="BP71" s="22">
        <f t="shared" si="34"/>
        <v>3</v>
      </c>
      <c r="BQ71" s="22">
        <f t="shared" si="34"/>
        <v>7</v>
      </c>
      <c r="BR71" s="22">
        <f t="shared" si="45"/>
        <v>0</v>
      </c>
      <c r="BS71" s="22">
        <f t="shared" si="46"/>
        <v>0</v>
      </c>
      <c r="BT71" s="22">
        <f t="shared" si="47"/>
        <v>0</v>
      </c>
      <c r="BU71" s="22">
        <f t="shared" si="48"/>
        <v>0</v>
      </c>
      <c r="BV71" s="22">
        <f t="shared" si="49"/>
        <v>0</v>
      </c>
      <c r="BW71" s="22">
        <f t="shared" si="50"/>
        <v>0</v>
      </c>
      <c r="BX71" s="22">
        <f t="shared" si="51"/>
        <v>0</v>
      </c>
      <c r="BY71" s="22">
        <f t="shared" si="52"/>
        <v>0</v>
      </c>
      <c r="BZ71" s="22">
        <f t="shared" si="53"/>
        <v>0</v>
      </c>
      <c r="CA71" s="22">
        <f t="shared" si="54"/>
        <v>0</v>
      </c>
      <c r="CB71" s="22">
        <f t="shared" si="55"/>
        <v>0</v>
      </c>
      <c r="CC71" s="22">
        <f t="shared" si="56"/>
        <v>0</v>
      </c>
      <c r="CD71" s="22">
        <f t="shared" si="57"/>
        <v>0</v>
      </c>
      <c r="CE71" s="22">
        <f t="shared" si="58"/>
        <v>0</v>
      </c>
      <c r="CF71" s="22">
        <f t="shared" si="59"/>
        <v>0</v>
      </c>
      <c r="CG71" s="22">
        <f t="shared" si="60"/>
        <v>0</v>
      </c>
      <c r="CH71" s="22">
        <f t="shared" si="61"/>
        <v>10</v>
      </c>
      <c r="CI71" s="34">
        <f t="shared" si="62"/>
        <v>10</v>
      </c>
      <c r="CJ71" s="24">
        <f t="shared" ref="CJ71:CJ74" si="64">COUNTIF(AE71:AF71,"")+COUNTIF(AL71:AM71,"")+COUNTIF(AR71:AT71,"")+ COUNTIF(AZ71:BA71,"")+ COUNTIF(AE71:AF71,"例")+COUNTIF(AL71:AM71,"例")+COUNTIF(AR71:AT71,"例")+COUNTIF(AZ71:BA71,"例")+ COUNTIF(AE71:AF71,"息")+COUNTIF(AL71:AM71,"息")+COUNTIF(AR71:AT71,"息")+ COUNTIF(AZ71:BA71,"息")+COUNTIF(AE71:AF71,"特")+COUNTIF(AL71:AM71,"特")+COUNTIF(AR71:AT71,"特")+COUNTIF(AZ71:BA71,"特")+COUNTIF(AE71:AF71,"補*")+COUNTIF(AL71:AM71,"補*")+COUNTIF(AR71:AT71,"補*")+COUNTIF(AZ71:BA71,"補*")+COUNTIF(AE71:AF71,"喪")+COUNTIF(AL71:AM71,"喪")+COUNTIF(AR71:AT71,"喪")+COUNTIF(AZ71:BA71,"喪")</f>
        <v>3</v>
      </c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</row>
    <row r="72" spans="1:156" s="3" customFormat="1" ht="49.5" customHeight="1">
      <c r="A72" s="38"/>
      <c r="B72" s="22">
        <v>10</v>
      </c>
      <c r="C72" s="34" t="s">
        <v>187</v>
      </c>
      <c r="D72" s="21" t="s">
        <v>46</v>
      </c>
      <c r="E72" s="20" t="s">
        <v>48</v>
      </c>
      <c r="F72" s="20" t="s">
        <v>48</v>
      </c>
      <c r="G72" s="20" t="s">
        <v>7</v>
      </c>
      <c r="H72" s="20" t="s">
        <v>7</v>
      </c>
      <c r="I72" s="20" t="s">
        <v>48</v>
      </c>
      <c r="J72" s="20" t="s">
        <v>51</v>
      </c>
      <c r="K72" s="20" t="s">
        <v>51</v>
      </c>
      <c r="L72" s="20" t="s">
        <v>51</v>
      </c>
      <c r="M72" s="21" t="s">
        <v>46</v>
      </c>
      <c r="N72" s="20" t="s">
        <v>51</v>
      </c>
      <c r="O72" s="21" t="s">
        <v>51</v>
      </c>
      <c r="P72" s="21" t="s">
        <v>51</v>
      </c>
      <c r="Q72" s="21" t="s">
        <v>48</v>
      </c>
      <c r="R72" s="21" t="s">
        <v>51</v>
      </c>
      <c r="S72" s="20" t="s">
        <v>51</v>
      </c>
      <c r="T72" s="21" t="s">
        <v>7</v>
      </c>
      <c r="U72" s="20" t="s">
        <v>7</v>
      </c>
      <c r="V72" s="21" t="s">
        <v>7</v>
      </c>
      <c r="W72" s="21" t="s">
        <v>46</v>
      </c>
      <c r="X72" s="21" t="s">
        <v>7</v>
      </c>
      <c r="Y72" s="21" t="s">
        <v>7</v>
      </c>
      <c r="Z72" s="7" t="s">
        <v>53</v>
      </c>
      <c r="AA72" s="20" t="s">
        <v>53</v>
      </c>
      <c r="AB72" s="8" t="s">
        <v>53</v>
      </c>
      <c r="AC72" s="7"/>
      <c r="AD72" s="7"/>
      <c r="AE72" s="21" t="s">
        <v>53</v>
      </c>
      <c r="AF72" s="21" t="s">
        <v>53</v>
      </c>
      <c r="AG72" s="8"/>
      <c r="AH72" s="7" t="s">
        <v>53</v>
      </c>
      <c r="AI72" s="7" t="s">
        <v>53</v>
      </c>
      <c r="AJ72" s="10"/>
      <c r="AK72" s="10"/>
      <c r="AL72" s="21" t="s">
        <v>53</v>
      </c>
      <c r="AM72" s="21" t="s">
        <v>53</v>
      </c>
      <c r="AN72" s="8" t="s">
        <v>53</v>
      </c>
      <c r="AO72" s="7" t="s">
        <v>53</v>
      </c>
      <c r="AP72" s="8"/>
      <c r="AQ72" s="8" t="s">
        <v>50</v>
      </c>
      <c r="AR72" s="20" t="s">
        <v>50</v>
      </c>
      <c r="AS72" s="20" t="s">
        <v>50</v>
      </c>
      <c r="AT72" s="20" t="s">
        <v>50</v>
      </c>
      <c r="AU72" s="8"/>
      <c r="AV72" s="8" t="s">
        <v>50</v>
      </c>
      <c r="AW72" s="7" t="s">
        <v>50</v>
      </c>
      <c r="AX72" s="7" t="s">
        <v>50</v>
      </c>
      <c r="AY72" s="10"/>
      <c r="AZ72" s="20"/>
      <c r="BA72" s="20"/>
      <c r="BB72" s="8" t="s">
        <v>50</v>
      </c>
      <c r="BC72" s="7" t="s">
        <v>50</v>
      </c>
      <c r="BD72" s="35" t="s">
        <v>186</v>
      </c>
      <c r="BE72" s="22">
        <f t="shared" si="35"/>
        <v>9</v>
      </c>
      <c r="BF72" s="22">
        <f t="shared" si="36"/>
        <v>11</v>
      </c>
      <c r="BG72" s="22">
        <f t="shared" si="37"/>
        <v>0</v>
      </c>
      <c r="BH72" s="22">
        <f t="shared" si="38"/>
        <v>20</v>
      </c>
      <c r="BI72" s="22">
        <f t="shared" si="39"/>
        <v>3</v>
      </c>
      <c r="BJ72" s="22">
        <f t="shared" si="40"/>
        <v>4</v>
      </c>
      <c r="BK72" s="22">
        <f t="shared" si="41"/>
        <v>7</v>
      </c>
      <c r="BL72" s="22">
        <f t="shared" si="42"/>
        <v>0</v>
      </c>
      <c r="BM72" s="22">
        <f t="shared" si="43"/>
        <v>0</v>
      </c>
      <c r="BN72" s="22">
        <f t="shared" si="44"/>
        <v>0</v>
      </c>
      <c r="BO72" s="22">
        <f t="shared" si="34"/>
        <v>3</v>
      </c>
      <c r="BP72" s="22">
        <f t="shared" si="34"/>
        <v>4</v>
      </c>
      <c r="BQ72" s="22">
        <f t="shared" si="34"/>
        <v>7</v>
      </c>
      <c r="BR72" s="22">
        <f t="shared" si="45"/>
        <v>0</v>
      </c>
      <c r="BS72" s="22">
        <f t="shared" si="46"/>
        <v>0</v>
      </c>
      <c r="BT72" s="22">
        <f t="shared" si="47"/>
        <v>0</v>
      </c>
      <c r="BU72" s="22">
        <f t="shared" si="48"/>
        <v>0</v>
      </c>
      <c r="BV72" s="22">
        <f t="shared" si="49"/>
        <v>0</v>
      </c>
      <c r="BW72" s="22">
        <f t="shared" si="50"/>
        <v>0</v>
      </c>
      <c r="BX72" s="22">
        <f t="shared" si="51"/>
        <v>0</v>
      </c>
      <c r="BY72" s="22">
        <f t="shared" si="52"/>
        <v>0</v>
      </c>
      <c r="BZ72" s="22">
        <f t="shared" si="53"/>
        <v>0</v>
      </c>
      <c r="CA72" s="22">
        <f t="shared" si="54"/>
        <v>0</v>
      </c>
      <c r="CB72" s="22">
        <f t="shared" si="55"/>
        <v>0</v>
      </c>
      <c r="CC72" s="22">
        <f t="shared" si="56"/>
        <v>0</v>
      </c>
      <c r="CD72" s="22">
        <f t="shared" si="57"/>
        <v>0</v>
      </c>
      <c r="CE72" s="22">
        <f t="shared" si="58"/>
        <v>0</v>
      </c>
      <c r="CF72" s="22">
        <f t="shared" si="59"/>
        <v>0</v>
      </c>
      <c r="CG72" s="22">
        <f t="shared" si="60"/>
        <v>0</v>
      </c>
      <c r="CH72" s="22">
        <f t="shared" si="61"/>
        <v>10</v>
      </c>
      <c r="CI72" s="34">
        <f t="shared" si="62"/>
        <v>10</v>
      </c>
      <c r="CJ72" s="24">
        <f t="shared" si="64"/>
        <v>2</v>
      </c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</row>
    <row r="73" spans="1:156" s="3" customFormat="1" ht="49.5" customHeight="1">
      <c r="A73" s="38"/>
      <c r="B73" s="22">
        <v>11</v>
      </c>
      <c r="C73" s="34" t="s">
        <v>188</v>
      </c>
      <c r="D73" s="21" t="s">
        <v>8</v>
      </c>
      <c r="E73" s="21" t="s">
        <v>8</v>
      </c>
      <c r="F73" s="20" t="s">
        <v>8</v>
      </c>
      <c r="G73" s="20" t="s">
        <v>8</v>
      </c>
      <c r="H73" s="20" t="s">
        <v>46</v>
      </c>
      <c r="I73" s="21" t="s">
        <v>7</v>
      </c>
      <c r="J73" s="21" t="s">
        <v>7</v>
      </c>
      <c r="K73" s="21" t="s">
        <v>7</v>
      </c>
      <c r="L73" s="20" t="s">
        <v>7</v>
      </c>
      <c r="M73" s="20" t="s">
        <v>46</v>
      </c>
      <c r="N73" s="20" t="s">
        <v>7</v>
      </c>
      <c r="O73" s="20" t="s">
        <v>7</v>
      </c>
      <c r="P73" s="21" t="s">
        <v>7</v>
      </c>
      <c r="Q73" s="21" t="s">
        <v>7</v>
      </c>
      <c r="R73" s="21" t="s">
        <v>46</v>
      </c>
      <c r="S73" s="20" t="s">
        <v>7</v>
      </c>
      <c r="T73" s="20" t="s">
        <v>7</v>
      </c>
      <c r="U73" s="20" t="s">
        <v>7</v>
      </c>
      <c r="V73" s="21" t="s">
        <v>48</v>
      </c>
      <c r="W73" s="21" t="s">
        <v>48</v>
      </c>
      <c r="X73" s="21" t="s">
        <v>48</v>
      </c>
      <c r="Y73" s="21" t="s">
        <v>46</v>
      </c>
      <c r="Z73" s="9"/>
      <c r="AA73" s="9"/>
      <c r="AB73" s="8" t="s">
        <v>53</v>
      </c>
      <c r="AC73" s="8" t="s">
        <v>53</v>
      </c>
      <c r="AD73" s="8" t="s">
        <v>53</v>
      </c>
      <c r="AE73" s="21" t="s">
        <v>53</v>
      </c>
      <c r="AF73" s="20" t="s">
        <v>53</v>
      </c>
      <c r="AG73" s="7"/>
      <c r="AH73" s="8"/>
      <c r="AI73" s="7" t="s">
        <v>53</v>
      </c>
      <c r="AJ73" s="8" t="s">
        <v>53</v>
      </c>
      <c r="AK73" s="7" t="s">
        <v>53</v>
      </c>
      <c r="AL73" s="21"/>
      <c r="AM73" s="21" t="s">
        <v>53</v>
      </c>
      <c r="AN73" s="8" t="s">
        <v>53</v>
      </c>
      <c r="AO73" s="8"/>
      <c r="AP73" s="7" t="s">
        <v>50</v>
      </c>
      <c r="AQ73" s="8" t="s">
        <v>50</v>
      </c>
      <c r="AR73" s="20" t="s">
        <v>50</v>
      </c>
      <c r="AS73" s="21"/>
      <c r="AT73" s="21"/>
      <c r="AU73" s="8" t="s">
        <v>50</v>
      </c>
      <c r="AV73" s="7" t="s">
        <v>50</v>
      </c>
      <c r="AW73" s="7" t="s">
        <v>51</v>
      </c>
      <c r="AX73" s="7"/>
      <c r="AY73" s="8" t="s">
        <v>50</v>
      </c>
      <c r="AZ73" s="21" t="s">
        <v>50</v>
      </c>
      <c r="BA73" s="21" t="s">
        <v>51</v>
      </c>
      <c r="BB73" s="8" t="s">
        <v>50</v>
      </c>
      <c r="BC73" s="8"/>
      <c r="BD73" s="34" t="s">
        <v>184</v>
      </c>
      <c r="BE73" s="22">
        <f>COUNTIF(Z73:BC73,"D*")</f>
        <v>10</v>
      </c>
      <c r="BF73" s="22">
        <f>COUNTIF(Z73:BC73,"E*")</f>
        <v>10</v>
      </c>
      <c r="BG73" s="22">
        <f>COUNTIF(Z73:BC73,"N*")</f>
        <v>0</v>
      </c>
      <c r="BH73" s="22">
        <f>SUM(BE73:BG73)</f>
        <v>20</v>
      </c>
      <c r="BI73" s="22">
        <f>COUNTIF(D73:Y73, "例")</f>
        <v>4</v>
      </c>
      <c r="BJ73" s="22">
        <f>COUNTIF(D73:Y73, "*息*")</f>
        <v>3</v>
      </c>
      <c r="BK73" s="22">
        <f>BI73+BJ73</f>
        <v>7</v>
      </c>
      <c r="BL73" s="22">
        <f>COUNTIF(Z73:AE73, "例")</f>
        <v>0</v>
      </c>
      <c r="BM73" s="22">
        <f>COUNTIF(Z73:AE73,"*息*")</f>
        <v>0</v>
      </c>
      <c r="BN73" s="22">
        <f>BL73+BM73</f>
        <v>0</v>
      </c>
      <c r="BO73" s="22">
        <f>BI73+BL73</f>
        <v>4</v>
      </c>
      <c r="BP73" s="22">
        <f>BJ73+BM73</f>
        <v>3</v>
      </c>
      <c r="BQ73" s="22">
        <f>BK73+BN73</f>
        <v>7</v>
      </c>
      <c r="BR73" s="22">
        <f>COUNTIF(AF73:BC73,"例")</f>
        <v>0</v>
      </c>
      <c r="BS73" s="22">
        <f>COUNTIF(AF73:BC73,"*息*")</f>
        <v>0</v>
      </c>
      <c r="BT73" s="22">
        <f>SUM(BR73+BS73)</f>
        <v>0</v>
      </c>
      <c r="BU73" s="22">
        <f>COUNTIF(Z73:BC73,"*國*")</f>
        <v>0</v>
      </c>
      <c r="BV73" s="22">
        <f>COUNTIF(Z73:BC73,"例")</f>
        <v>0</v>
      </c>
      <c r="BW73" s="22">
        <f>COUNTIF(Z73:BC73,"息")</f>
        <v>0</v>
      </c>
      <c r="BX73" s="22">
        <f>COUNTIF(Z73:BC73,"國")</f>
        <v>0</v>
      </c>
      <c r="BY73" s="22">
        <f>COUNTIF(Z73:BC73,"補*")</f>
        <v>0</v>
      </c>
      <c r="BZ73" s="22">
        <f>COUNTIF(Z73:BC73,"特*")</f>
        <v>0</v>
      </c>
      <c r="CA73" s="22">
        <f>COUNTIF(Z73:BC73,"喪*")</f>
        <v>0</v>
      </c>
      <c r="CB73" s="22">
        <f>COUNTIF(Z73:BC73,"病")</f>
        <v>0</v>
      </c>
      <c r="CC73" s="22">
        <f>COUNTIF(Z73:BC73,"空")</f>
        <v>0</v>
      </c>
      <c r="CD73" s="22">
        <f>COUNTIF(Z73:BC73,"婚*")</f>
        <v>0</v>
      </c>
      <c r="CE73" s="22">
        <f>COUNTIF(Z73:BC73,"產檢")</f>
        <v>0</v>
      </c>
      <c r="CF73" s="22">
        <f>COUNTIF(Z73:BC73,"產*")</f>
        <v>0</v>
      </c>
      <c r="CG73" s="22">
        <f>COUNTIF(Z73:BC73,"公")</f>
        <v>0</v>
      </c>
      <c r="CH73" s="22">
        <f>COUNTIF(Z73:BC73, "")</f>
        <v>10</v>
      </c>
      <c r="CI73" s="34">
        <f>SUM(BV73:CH73)</f>
        <v>10</v>
      </c>
      <c r="CJ73" s="24">
        <f>COUNTIF(AE73:AF73,"")+COUNTIF(AL73:AM73,"")+COUNTIF(AR73:AT73,"")+ COUNTIF(AZ73:BA73,"")+ COUNTIF(AE73:AF73,"例")+COUNTIF(AL73:AM73,"例")+COUNTIF(AR73:AT73,"例")+COUNTIF(AZ73:BA73,"例")+ COUNTIF(AE73:AF73,"息")+COUNTIF(AL73:AM73,"息")+COUNTIF(AR73:AT73,"息")+ COUNTIF(AZ73:BA73,"息")+COUNTIF(AE73:AF73,"特")+COUNTIF(AL73:AM73,"特")+COUNTIF(AR73:AT73,"特")+COUNTIF(AZ73:BA73,"特")+COUNTIF(AE73:AF73,"補*")+COUNTIF(AL73:AM73,"補*")+COUNTIF(AR73:AT73,"補*")+COUNTIF(AZ73:BA73,"補*")+COUNTIF(AE73:AF73,"喪")+COUNTIF(AL73:AM73,"喪")+COUNTIF(AR73:AT73,"喪")+COUNTIF(AZ73:BA73,"喪")</f>
        <v>3</v>
      </c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</row>
    <row r="74" spans="1:156" s="3" customFormat="1" ht="49.5" customHeight="1">
      <c r="A74" s="38"/>
      <c r="B74" s="22">
        <v>12</v>
      </c>
      <c r="C74" s="34" t="s">
        <v>189</v>
      </c>
      <c r="D74" s="21" t="s">
        <v>51</v>
      </c>
      <c r="E74" s="20" t="s">
        <v>51</v>
      </c>
      <c r="F74" s="20" t="s">
        <v>46</v>
      </c>
      <c r="G74" s="20" t="s">
        <v>51</v>
      </c>
      <c r="H74" s="20" t="s">
        <v>51</v>
      </c>
      <c r="I74" s="20" t="s">
        <v>51</v>
      </c>
      <c r="J74" s="20" t="s">
        <v>8</v>
      </c>
      <c r="K74" s="20" t="s">
        <v>8</v>
      </c>
      <c r="L74" s="20" t="s">
        <v>46</v>
      </c>
      <c r="M74" s="21" t="s">
        <v>8</v>
      </c>
      <c r="N74" s="20" t="s">
        <v>8</v>
      </c>
      <c r="O74" s="21" t="s">
        <v>8</v>
      </c>
      <c r="P74" s="21" t="s">
        <v>48</v>
      </c>
      <c r="Q74" s="21" t="s">
        <v>8</v>
      </c>
      <c r="R74" s="21" t="s">
        <v>8</v>
      </c>
      <c r="S74" s="20" t="s">
        <v>8</v>
      </c>
      <c r="T74" s="21" t="s">
        <v>8</v>
      </c>
      <c r="U74" s="20" t="s">
        <v>46</v>
      </c>
      <c r="V74" s="21" t="s">
        <v>48</v>
      </c>
      <c r="W74" s="21" t="s">
        <v>48</v>
      </c>
      <c r="X74" s="21" t="s">
        <v>56</v>
      </c>
      <c r="Y74" s="21" t="s">
        <v>46</v>
      </c>
      <c r="Z74" s="9"/>
      <c r="AA74" s="9"/>
      <c r="AB74" s="8" t="s">
        <v>53</v>
      </c>
      <c r="AC74" s="8" t="s">
        <v>53</v>
      </c>
      <c r="AD74" s="7" t="s">
        <v>53</v>
      </c>
      <c r="AE74" s="21"/>
      <c r="AF74" s="21"/>
      <c r="AG74" s="7" t="s">
        <v>53</v>
      </c>
      <c r="AH74" s="8" t="s">
        <v>53</v>
      </c>
      <c r="AI74" s="8"/>
      <c r="AJ74" s="7" t="s">
        <v>7</v>
      </c>
      <c r="AK74" s="7" t="s">
        <v>53</v>
      </c>
      <c r="AL74" s="20" t="s">
        <v>53</v>
      </c>
      <c r="AM74" s="20" t="s">
        <v>53</v>
      </c>
      <c r="AN74" s="8"/>
      <c r="AO74" s="8" t="s">
        <v>50</v>
      </c>
      <c r="AP74" s="7" t="s">
        <v>50</v>
      </c>
      <c r="AQ74" s="8" t="s">
        <v>50</v>
      </c>
      <c r="AR74" s="21"/>
      <c r="AS74" s="20" t="s">
        <v>50</v>
      </c>
      <c r="AT74" s="20" t="s">
        <v>50</v>
      </c>
      <c r="AU74" s="7" t="s">
        <v>50</v>
      </c>
      <c r="AV74" s="8" t="s">
        <v>50</v>
      </c>
      <c r="AW74" s="8"/>
      <c r="AX74" s="8" t="s">
        <v>50</v>
      </c>
      <c r="AY74" s="8" t="s">
        <v>50</v>
      </c>
      <c r="AZ74" s="21" t="s">
        <v>50</v>
      </c>
      <c r="BA74" s="21"/>
      <c r="BB74" s="8"/>
      <c r="BC74" s="7" t="s">
        <v>50</v>
      </c>
      <c r="BD74" s="34" t="s">
        <v>187</v>
      </c>
      <c r="BE74" s="22">
        <f t="shared" si="35"/>
        <v>11</v>
      </c>
      <c r="BF74" s="22">
        <f t="shared" si="36"/>
        <v>9</v>
      </c>
      <c r="BG74" s="22">
        <f t="shared" si="37"/>
        <v>0</v>
      </c>
      <c r="BH74" s="22">
        <f t="shared" si="38"/>
        <v>20</v>
      </c>
      <c r="BI74" s="22">
        <f t="shared" si="39"/>
        <v>4</v>
      </c>
      <c r="BJ74" s="22">
        <f t="shared" si="40"/>
        <v>3</v>
      </c>
      <c r="BK74" s="22">
        <f t="shared" si="41"/>
        <v>7</v>
      </c>
      <c r="BL74" s="22">
        <f t="shared" si="42"/>
        <v>0</v>
      </c>
      <c r="BM74" s="22">
        <f t="shared" si="43"/>
        <v>0</v>
      </c>
      <c r="BN74" s="22">
        <f t="shared" si="44"/>
        <v>0</v>
      </c>
      <c r="BO74" s="22">
        <f t="shared" si="34"/>
        <v>4</v>
      </c>
      <c r="BP74" s="22">
        <f t="shared" si="34"/>
        <v>3</v>
      </c>
      <c r="BQ74" s="22">
        <f t="shared" si="34"/>
        <v>7</v>
      </c>
      <c r="BR74" s="22">
        <f t="shared" si="45"/>
        <v>0</v>
      </c>
      <c r="BS74" s="22">
        <f t="shared" si="46"/>
        <v>0</v>
      </c>
      <c r="BT74" s="22">
        <f t="shared" si="47"/>
        <v>0</v>
      </c>
      <c r="BU74" s="22">
        <f t="shared" si="48"/>
        <v>0</v>
      </c>
      <c r="BV74" s="22">
        <f t="shared" si="49"/>
        <v>0</v>
      </c>
      <c r="BW74" s="22">
        <f t="shared" si="50"/>
        <v>0</v>
      </c>
      <c r="BX74" s="22">
        <f t="shared" si="51"/>
        <v>0</v>
      </c>
      <c r="BY74" s="22">
        <f t="shared" si="52"/>
        <v>0</v>
      </c>
      <c r="BZ74" s="22">
        <f t="shared" si="53"/>
        <v>0</v>
      </c>
      <c r="CA74" s="22">
        <f t="shared" si="54"/>
        <v>0</v>
      </c>
      <c r="CB74" s="22">
        <f t="shared" si="55"/>
        <v>0</v>
      </c>
      <c r="CC74" s="22">
        <f t="shared" si="56"/>
        <v>0</v>
      </c>
      <c r="CD74" s="22">
        <f t="shared" si="57"/>
        <v>0</v>
      </c>
      <c r="CE74" s="22">
        <f t="shared" si="58"/>
        <v>0</v>
      </c>
      <c r="CF74" s="22">
        <f t="shared" si="59"/>
        <v>0</v>
      </c>
      <c r="CG74" s="22">
        <f t="shared" si="60"/>
        <v>0</v>
      </c>
      <c r="CH74" s="22">
        <f t="shared" si="61"/>
        <v>10</v>
      </c>
      <c r="CI74" s="34">
        <f t="shared" si="62"/>
        <v>10</v>
      </c>
      <c r="CJ74" s="24">
        <f t="shared" si="64"/>
        <v>4</v>
      </c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</row>
    <row r="75" spans="1:156" s="3" customFormat="1" ht="49.5" customHeight="1">
      <c r="A75" s="38"/>
      <c r="B75" s="22">
        <v>13</v>
      </c>
      <c r="C75" s="34" t="s">
        <v>190</v>
      </c>
      <c r="D75" s="21" t="s">
        <v>7</v>
      </c>
      <c r="E75" s="20" t="s">
        <v>46</v>
      </c>
      <c r="F75" s="20" t="s">
        <v>7</v>
      </c>
      <c r="G75" s="21" t="s">
        <v>7</v>
      </c>
      <c r="H75" s="20" t="s">
        <v>7</v>
      </c>
      <c r="I75" s="20" t="s">
        <v>7</v>
      </c>
      <c r="J75" s="20" t="s">
        <v>48</v>
      </c>
      <c r="K75" s="20" t="s">
        <v>51</v>
      </c>
      <c r="L75" s="21" t="s">
        <v>51</v>
      </c>
      <c r="M75" s="20" t="s">
        <v>51</v>
      </c>
      <c r="N75" s="20" t="s">
        <v>46</v>
      </c>
      <c r="O75" s="20" t="s">
        <v>51</v>
      </c>
      <c r="P75" s="20" t="s">
        <v>51</v>
      </c>
      <c r="Q75" s="20" t="s">
        <v>48</v>
      </c>
      <c r="R75" s="20" t="s">
        <v>46</v>
      </c>
      <c r="S75" s="21" t="s">
        <v>56</v>
      </c>
      <c r="T75" s="20" t="s">
        <v>49</v>
      </c>
      <c r="U75" s="21" t="s">
        <v>49</v>
      </c>
      <c r="V75" s="21" t="s">
        <v>51</v>
      </c>
      <c r="W75" s="21" t="s">
        <v>51</v>
      </c>
      <c r="X75" s="21" t="s">
        <v>48</v>
      </c>
      <c r="Y75" s="21" t="s">
        <v>46</v>
      </c>
      <c r="Z75" s="10"/>
      <c r="AA75" s="10"/>
      <c r="AB75" s="10"/>
      <c r="AC75" s="10"/>
      <c r="AD75" s="10"/>
      <c r="AE75" s="20"/>
      <c r="AF75" s="20"/>
      <c r="AG75" s="10"/>
      <c r="AH75" s="10"/>
      <c r="AI75" s="10"/>
      <c r="AJ75" s="10"/>
      <c r="AK75" s="10"/>
      <c r="AL75" s="20" t="s">
        <v>53</v>
      </c>
      <c r="AM75" s="21" t="s">
        <v>53</v>
      </c>
      <c r="AN75" s="8" t="s">
        <v>53</v>
      </c>
      <c r="AO75" s="7" t="s">
        <v>53</v>
      </c>
      <c r="AP75" s="10"/>
      <c r="AQ75" s="10"/>
      <c r="AR75" s="21" t="s">
        <v>53</v>
      </c>
      <c r="AS75" s="21" t="s">
        <v>55</v>
      </c>
      <c r="AT75" s="21" t="s">
        <v>55</v>
      </c>
      <c r="AU75" s="8"/>
      <c r="AV75" s="8" t="s">
        <v>55</v>
      </c>
      <c r="AW75" s="8" t="s">
        <v>55</v>
      </c>
      <c r="AX75" s="8" t="s">
        <v>55</v>
      </c>
      <c r="AY75" s="7" t="s">
        <v>55</v>
      </c>
      <c r="AZ75" s="20"/>
      <c r="BA75" s="20"/>
      <c r="BB75" s="7" t="s">
        <v>55</v>
      </c>
      <c r="BC75" s="7" t="s">
        <v>55</v>
      </c>
      <c r="BD75" s="34" t="s">
        <v>182</v>
      </c>
      <c r="BE75" s="22">
        <f>COUNTIF(Z75:BC75,"D*")</f>
        <v>0</v>
      </c>
      <c r="BF75" s="22">
        <f>COUNTIF(Z75:BC75,"E*")</f>
        <v>5</v>
      </c>
      <c r="BG75" s="22">
        <f>COUNTIF(Z75:BC75,"N*")</f>
        <v>8</v>
      </c>
      <c r="BH75" s="22">
        <f>SUM(BE75:BG75)</f>
        <v>13</v>
      </c>
      <c r="BI75" s="22">
        <f>COUNTIF(D75:Y75, "例")</f>
        <v>4</v>
      </c>
      <c r="BJ75" s="22">
        <f>COUNTIF(D75:Y75, "*息*")</f>
        <v>3</v>
      </c>
      <c r="BK75" s="22">
        <f>BI75+BJ75</f>
        <v>7</v>
      </c>
      <c r="BL75" s="22">
        <f>COUNTIF(Z75:AE75, "例")</f>
        <v>0</v>
      </c>
      <c r="BM75" s="22">
        <f>COUNTIF(Z75:AE75,"*息*")</f>
        <v>0</v>
      </c>
      <c r="BN75" s="22">
        <f>BL75+BM75</f>
        <v>0</v>
      </c>
      <c r="BO75" s="22">
        <f t="shared" ref="BO75:BQ76" si="65">BI75+BL75</f>
        <v>4</v>
      </c>
      <c r="BP75" s="22">
        <f t="shared" si="65"/>
        <v>3</v>
      </c>
      <c r="BQ75" s="22">
        <f t="shared" si="65"/>
        <v>7</v>
      </c>
      <c r="BR75" s="22">
        <f>COUNTIF(AF75:BC75,"例")</f>
        <v>0</v>
      </c>
      <c r="BS75" s="22">
        <f>COUNTIF(AF75:BC75,"*息*")</f>
        <v>0</v>
      </c>
      <c r="BT75" s="22">
        <f>SUM(BR75+BS75)</f>
        <v>0</v>
      </c>
      <c r="BU75" s="22">
        <f>COUNTIF(Z75:BC75,"*國*")</f>
        <v>0</v>
      </c>
      <c r="BV75" s="22">
        <f>COUNTIF(Z75:BC75,"例")</f>
        <v>0</v>
      </c>
      <c r="BW75" s="22">
        <f>COUNTIF(Z75:BC75,"息")</f>
        <v>0</v>
      </c>
      <c r="BX75" s="22">
        <f>COUNTIF(Z75:BC75,"國")</f>
        <v>0</v>
      </c>
      <c r="BY75" s="22">
        <f>COUNTIF(Z75:BC75,"補*")</f>
        <v>0</v>
      </c>
      <c r="BZ75" s="22">
        <f>COUNTIF(Z75:BC75,"特*")</f>
        <v>0</v>
      </c>
      <c r="CA75" s="22">
        <f>COUNTIF(Z75:BC75,"喪*")</f>
        <v>0</v>
      </c>
      <c r="CB75" s="22">
        <f>COUNTIF(Z75:BC75,"病")</f>
        <v>0</v>
      </c>
      <c r="CC75" s="22">
        <f>COUNTIF(Z75:BC75,"空")</f>
        <v>0</v>
      </c>
      <c r="CD75" s="22">
        <f>COUNTIF(Z75:BC75,"婚*")</f>
        <v>0</v>
      </c>
      <c r="CE75" s="22">
        <f>COUNTIF(Z75:BC75,"產檢")</f>
        <v>0</v>
      </c>
      <c r="CF75" s="22">
        <f>COUNTIF(Z75:BC75,"產*")</f>
        <v>0</v>
      </c>
      <c r="CG75" s="22">
        <f>COUNTIF(Z75:BC75,"公")</f>
        <v>0</v>
      </c>
      <c r="CH75" s="22">
        <f>COUNTIF(Z75:BC75, "")</f>
        <v>17</v>
      </c>
      <c r="CI75" s="34">
        <f>SUM(BV75:CH75)</f>
        <v>17</v>
      </c>
      <c r="CJ75" s="24">
        <f>COUNTIF(AE75:AF75,"")+COUNTIF(AL75:AM75,"")+COUNTIF(AR75:AT75,"")+ COUNTIF(AZ75:BA75,"")+ COUNTIF(AE75:AF75,"例")+COUNTIF(AL75:AM75,"例")+COUNTIF(AR75:AT75,"例")+COUNTIF(AZ75:BA75,"例")+ COUNTIF(AE75:AF75,"息")+COUNTIF(AL75:AM75,"息")+COUNTIF(AR75:AT75,"息")+ COUNTIF(AZ75:BA75,"息")+COUNTIF(AE75:AF75,"特")+COUNTIF(AL75:AM75,"特")+COUNTIF(AR75:AT75,"特")+COUNTIF(AZ75:BA75,"特")+COUNTIF(AE75:AF75,"補*")+COUNTIF(AL75:AM75,"補*")+COUNTIF(AR75:AT75,"補*")+COUNTIF(AZ75:BA75,"補*")+COUNTIF(AE75:AF75,"喪")+COUNTIF(AL75:AM75,"喪")+COUNTIF(AR75:AT75,"喪")+COUNTIF(AZ75:BA75,"喪")</f>
        <v>4</v>
      </c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</row>
    <row r="76" spans="1:156" s="3" customFormat="1" ht="49.5" customHeight="1">
      <c r="A76" s="38"/>
      <c r="B76" s="22">
        <v>14</v>
      </c>
      <c r="C76" s="34" t="s">
        <v>191</v>
      </c>
      <c r="D76" s="21" t="s">
        <v>46</v>
      </c>
      <c r="E76" s="21" t="s">
        <v>48</v>
      </c>
      <c r="F76" s="21" t="s">
        <v>8</v>
      </c>
      <c r="G76" s="20" t="s">
        <v>8</v>
      </c>
      <c r="H76" s="20" t="s">
        <v>8</v>
      </c>
      <c r="I76" s="20" t="s">
        <v>68</v>
      </c>
      <c r="J76" s="20" t="s">
        <v>48</v>
      </c>
      <c r="K76" s="20" t="s">
        <v>8</v>
      </c>
      <c r="L76" s="20" t="s">
        <v>8</v>
      </c>
      <c r="M76" s="20" t="s">
        <v>46</v>
      </c>
      <c r="N76" s="20" t="s">
        <v>7</v>
      </c>
      <c r="O76" s="21" t="s">
        <v>7</v>
      </c>
      <c r="P76" s="21" t="s">
        <v>48</v>
      </c>
      <c r="Q76" s="21" t="s">
        <v>7</v>
      </c>
      <c r="R76" s="21" t="s">
        <v>7</v>
      </c>
      <c r="S76" s="21" t="s">
        <v>7</v>
      </c>
      <c r="T76" s="21" t="s">
        <v>46</v>
      </c>
      <c r="U76" s="20" t="s">
        <v>54</v>
      </c>
      <c r="V76" s="21" t="s">
        <v>7</v>
      </c>
      <c r="W76" s="21" t="s">
        <v>7</v>
      </c>
      <c r="X76" s="21" t="s">
        <v>7</v>
      </c>
      <c r="Y76" s="21" t="s">
        <v>7</v>
      </c>
      <c r="Z76" s="59"/>
      <c r="AA76" s="21" t="s">
        <v>53</v>
      </c>
      <c r="AB76" s="10"/>
      <c r="AC76" s="10"/>
      <c r="AD76" s="10"/>
      <c r="AE76" s="20" t="s">
        <v>53</v>
      </c>
      <c r="AF76" s="21" t="s">
        <v>53</v>
      </c>
      <c r="AG76" s="8" t="s">
        <v>53</v>
      </c>
      <c r="AH76" s="8" t="s">
        <v>53</v>
      </c>
      <c r="AI76" s="8"/>
      <c r="AJ76" s="8" t="s">
        <v>53</v>
      </c>
      <c r="AK76" s="8" t="s">
        <v>7</v>
      </c>
      <c r="AL76" s="20" t="s">
        <v>53</v>
      </c>
      <c r="AM76" s="21"/>
      <c r="AN76" s="8" t="s">
        <v>53</v>
      </c>
      <c r="AO76" s="8" t="s">
        <v>53</v>
      </c>
      <c r="AP76" s="8" t="s">
        <v>55</v>
      </c>
      <c r="AQ76" s="7" t="s">
        <v>55</v>
      </c>
      <c r="AR76" s="21"/>
      <c r="AS76" s="20" t="s">
        <v>8</v>
      </c>
      <c r="AT76" s="21" t="s">
        <v>8</v>
      </c>
      <c r="AU76" s="8" t="s">
        <v>55</v>
      </c>
      <c r="AV76" s="8" t="s">
        <v>55</v>
      </c>
      <c r="AW76" s="21"/>
      <c r="AX76" s="20"/>
      <c r="AY76" s="8"/>
      <c r="AZ76" s="21" t="s">
        <v>8</v>
      </c>
      <c r="BA76" s="21" t="s">
        <v>8</v>
      </c>
      <c r="BB76" s="8" t="s">
        <v>8</v>
      </c>
      <c r="BC76" s="7" t="s">
        <v>8</v>
      </c>
      <c r="BD76" s="34" t="s">
        <v>189</v>
      </c>
      <c r="BE76" s="22">
        <f>COUNTIF(Z76:BC76,"D*")</f>
        <v>0</v>
      </c>
      <c r="BF76" s="22">
        <f>COUNTIF(Z76:BC76,"E*")</f>
        <v>10</v>
      </c>
      <c r="BG76" s="22">
        <f>COUNTIF(Z76:BC76,"N*")</f>
        <v>10</v>
      </c>
      <c r="BH76" s="22">
        <f>SUM(BE76:BG76)</f>
        <v>20</v>
      </c>
      <c r="BI76" s="22">
        <f>COUNTIF(D76:Y76, "例")</f>
        <v>3</v>
      </c>
      <c r="BJ76" s="22">
        <f>COUNTIF(D76:Y76, "*息*")</f>
        <v>4</v>
      </c>
      <c r="BK76" s="22">
        <f>BI76+BJ76</f>
        <v>7</v>
      </c>
      <c r="BL76" s="22">
        <f>COUNTIF(Z76:AE76, "例")</f>
        <v>0</v>
      </c>
      <c r="BM76" s="22">
        <f>COUNTIF(Z76:AE76,"*息*")</f>
        <v>0</v>
      </c>
      <c r="BN76" s="22">
        <f>BL76+BM76</f>
        <v>0</v>
      </c>
      <c r="BO76" s="22">
        <f t="shared" si="65"/>
        <v>3</v>
      </c>
      <c r="BP76" s="22">
        <f t="shared" si="65"/>
        <v>4</v>
      </c>
      <c r="BQ76" s="22">
        <f t="shared" si="65"/>
        <v>7</v>
      </c>
      <c r="BR76" s="22">
        <f>COUNTIF(AF76:BC76,"例")</f>
        <v>0</v>
      </c>
      <c r="BS76" s="22">
        <f>COUNTIF(AF76:BC76,"*息*")</f>
        <v>0</v>
      </c>
      <c r="BT76" s="22">
        <f>SUM(BR76+BS76)</f>
        <v>0</v>
      </c>
      <c r="BU76" s="22">
        <f>COUNTIF(Z76:BC76,"*國*")</f>
        <v>0</v>
      </c>
      <c r="BV76" s="22">
        <f>COUNTIF(Z76:BC76,"例")</f>
        <v>0</v>
      </c>
      <c r="BW76" s="22">
        <f>COUNTIF(Z76:BC76,"息")</f>
        <v>0</v>
      </c>
      <c r="BX76" s="22">
        <f>COUNTIF(Z76:BC76,"國")</f>
        <v>0</v>
      </c>
      <c r="BY76" s="22">
        <f>COUNTIF(Z76:BC76,"補*")</f>
        <v>0</v>
      </c>
      <c r="BZ76" s="22">
        <f>COUNTIF(Z76:BC76,"特*")</f>
        <v>0</v>
      </c>
      <c r="CA76" s="22">
        <f>COUNTIF(Z76:BC76,"喪*")</f>
        <v>0</v>
      </c>
      <c r="CB76" s="22">
        <f>COUNTIF(Z76:BC76,"病")</f>
        <v>0</v>
      </c>
      <c r="CC76" s="22">
        <f>COUNTIF(Z76:BC76,"空")</f>
        <v>0</v>
      </c>
      <c r="CD76" s="22">
        <f>COUNTIF(Z76:BC76,"婚*")</f>
        <v>0</v>
      </c>
      <c r="CE76" s="22">
        <f>COUNTIF(Z76:BC76,"產檢")</f>
        <v>0</v>
      </c>
      <c r="CF76" s="22">
        <f>COUNTIF(Z76:BC76,"產*")</f>
        <v>0</v>
      </c>
      <c r="CG76" s="22">
        <f>COUNTIF(Z76:BC76,"公")</f>
        <v>0</v>
      </c>
      <c r="CH76" s="22">
        <f>COUNTIF(Z76:BC76, "")</f>
        <v>10</v>
      </c>
      <c r="CI76" s="34">
        <f>SUM(BV76:CH76)</f>
        <v>10</v>
      </c>
      <c r="CJ76" s="24">
        <f>COUNTIF(AE76:AF76,"")+COUNTIF(AL76:AM76,"")+COUNTIF(AR76:AT76,"")+ COUNTIF(AZ76:BA76,"")+ COUNTIF(AE76:AF76,"例")+COUNTIF(AL76:AM76,"例")+COUNTIF(AR76:AT76,"例")+COUNTIF(AZ76:BA76,"例")+ COUNTIF(AE76:AF76,"息")+COUNTIF(AL76:AM76,"息")+COUNTIF(AR76:AT76,"息")+ COUNTIF(AZ76:BA76,"息")+COUNTIF(AE76:AF76,"特")+COUNTIF(AL76:AM76,"特")+COUNTIF(AR76:AT76,"特")+COUNTIF(AZ76:BA76,"特")+COUNTIF(AE76:AF76,"補*")+COUNTIF(AL76:AM76,"補*")+COUNTIF(AR76:AT76,"補*")+COUNTIF(AZ76:BA76,"補*")+COUNTIF(AE76:AF76,"喪")+COUNTIF(AL76:AM76,"喪")+COUNTIF(AR76:AT76,"喪")+COUNTIF(AZ76:BA76,"喪")</f>
        <v>2</v>
      </c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</row>
    <row r="77" spans="1:156" s="3" customFormat="1" ht="42.75" customHeight="1">
      <c r="B77" s="1"/>
      <c r="C77" s="62" t="s">
        <v>72</v>
      </c>
      <c r="D77" s="63" t="s">
        <v>73</v>
      </c>
      <c r="E77" s="63" t="s">
        <v>74</v>
      </c>
      <c r="F77" s="63" t="s">
        <v>75</v>
      </c>
      <c r="G77" s="63" t="s">
        <v>76</v>
      </c>
      <c r="H77" s="63" t="s">
        <v>77</v>
      </c>
      <c r="I77" s="63" t="s">
        <v>78</v>
      </c>
      <c r="J77" s="63" t="s">
        <v>79</v>
      </c>
      <c r="K77" s="63" t="s">
        <v>80</v>
      </c>
      <c r="L77" s="63" t="s">
        <v>81</v>
      </c>
      <c r="M77" s="63" t="s">
        <v>82</v>
      </c>
      <c r="N77" s="63" t="s">
        <v>83</v>
      </c>
      <c r="O77" s="63" t="s">
        <v>84</v>
      </c>
      <c r="P77" s="63" t="s">
        <v>85</v>
      </c>
      <c r="Q77" s="63" t="s">
        <v>86</v>
      </c>
      <c r="R77" s="63" t="s">
        <v>87</v>
      </c>
      <c r="S77" s="63" t="s">
        <v>88</v>
      </c>
      <c r="T77" s="63" t="s">
        <v>89</v>
      </c>
      <c r="U77" s="63" t="s">
        <v>90</v>
      </c>
      <c r="V77" s="63" t="s">
        <v>91</v>
      </c>
      <c r="W77" s="63" t="s">
        <v>92</v>
      </c>
      <c r="X77" s="63" t="s">
        <v>93</v>
      </c>
      <c r="Y77" s="64" t="s">
        <v>94</v>
      </c>
      <c r="Z77" s="72" t="s">
        <v>95</v>
      </c>
      <c r="AA77" s="73" t="s">
        <v>96</v>
      </c>
      <c r="AB77" s="74" t="s">
        <v>97</v>
      </c>
      <c r="AC77" s="74" t="s">
        <v>98</v>
      </c>
      <c r="AD77" s="74" t="s">
        <v>99</v>
      </c>
      <c r="AE77" s="74" t="s">
        <v>100</v>
      </c>
      <c r="AF77" s="74" t="s">
        <v>101</v>
      </c>
      <c r="AG77" s="74" t="s">
        <v>102</v>
      </c>
      <c r="AH77" s="74" t="s">
        <v>103</v>
      </c>
      <c r="AI77" s="74" t="s">
        <v>73</v>
      </c>
      <c r="AJ77" s="74" t="s">
        <v>74</v>
      </c>
      <c r="AK77" s="74" t="s">
        <v>75</v>
      </c>
      <c r="AL77" s="74" t="s">
        <v>76</v>
      </c>
      <c r="AM77" s="74" t="s">
        <v>77</v>
      </c>
      <c r="AN77" s="74" t="s">
        <v>78</v>
      </c>
      <c r="AO77" s="74" t="s">
        <v>79</v>
      </c>
      <c r="AP77" s="74" t="s">
        <v>80</v>
      </c>
      <c r="AQ77" s="74" t="s">
        <v>81</v>
      </c>
      <c r="AR77" s="74" t="s">
        <v>82</v>
      </c>
      <c r="AS77" s="74" t="s">
        <v>83</v>
      </c>
      <c r="AT77" s="74" t="s">
        <v>84</v>
      </c>
      <c r="AU77" s="74" t="s">
        <v>85</v>
      </c>
      <c r="AV77" s="74" t="s">
        <v>86</v>
      </c>
      <c r="AW77" s="74" t="s">
        <v>87</v>
      </c>
      <c r="AX77" s="74" t="s">
        <v>88</v>
      </c>
      <c r="AY77" s="74" t="s">
        <v>89</v>
      </c>
      <c r="AZ77" s="74" t="s">
        <v>90</v>
      </c>
      <c r="BA77" s="74" t="s">
        <v>91</v>
      </c>
      <c r="BB77" s="74" t="s">
        <v>92</v>
      </c>
      <c r="BC77" s="74" t="s">
        <v>93</v>
      </c>
      <c r="BD77" s="75" t="str">
        <f>C77</f>
        <v>日期</v>
      </c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3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</row>
    <row r="78" spans="1:156" s="3" customFormat="1" ht="30" customHeight="1">
      <c r="A78" s="102" t="s">
        <v>195</v>
      </c>
      <c r="B78" s="103"/>
      <c r="C78" s="23" t="s">
        <v>6</v>
      </c>
      <c r="D78" s="23">
        <f>COUNTIF(D5:D76,"D*")</f>
        <v>17</v>
      </c>
      <c r="E78" s="23">
        <f t="shared" ref="E78:AJ78" si="66">COUNTIF(E6:E76,"D*")</f>
        <v>16</v>
      </c>
      <c r="F78" s="23">
        <f t="shared" si="66"/>
        <v>17</v>
      </c>
      <c r="G78" s="23">
        <f t="shared" si="66"/>
        <v>16</v>
      </c>
      <c r="H78" s="23">
        <f t="shared" si="66"/>
        <v>17</v>
      </c>
      <c r="I78" s="23">
        <f t="shared" si="66"/>
        <v>16</v>
      </c>
      <c r="J78" s="23">
        <f t="shared" si="66"/>
        <v>17</v>
      </c>
      <c r="K78" s="23">
        <f t="shared" si="66"/>
        <v>16</v>
      </c>
      <c r="L78" s="23">
        <f t="shared" si="66"/>
        <v>16</v>
      </c>
      <c r="M78" s="23">
        <f t="shared" si="66"/>
        <v>16</v>
      </c>
      <c r="N78" s="23">
        <f t="shared" si="66"/>
        <v>16</v>
      </c>
      <c r="O78" s="23">
        <f t="shared" si="66"/>
        <v>17</v>
      </c>
      <c r="P78" s="23">
        <f t="shared" si="66"/>
        <v>16</v>
      </c>
      <c r="Q78" s="23">
        <f t="shared" si="66"/>
        <v>16</v>
      </c>
      <c r="R78" s="23">
        <f t="shared" si="66"/>
        <v>17</v>
      </c>
      <c r="S78" s="23">
        <f t="shared" si="66"/>
        <v>16</v>
      </c>
      <c r="T78" s="23">
        <f t="shared" si="66"/>
        <v>16</v>
      </c>
      <c r="U78" s="23">
        <f t="shared" si="66"/>
        <v>16</v>
      </c>
      <c r="V78" s="23">
        <f t="shared" si="66"/>
        <v>16</v>
      </c>
      <c r="W78" s="23">
        <f t="shared" si="66"/>
        <v>16</v>
      </c>
      <c r="X78" s="23">
        <f t="shared" si="66"/>
        <v>16</v>
      </c>
      <c r="Y78" s="43">
        <f t="shared" si="66"/>
        <v>16</v>
      </c>
      <c r="Z78" s="45">
        <f t="shared" si="66"/>
        <v>16</v>
      </c>
      <c r="AA78" s="23">
        <f t="shared" si="66"/>
        <v>16</v>
      </c>
      <c r="AB78" s="23">
        <f t="shared" si="66"/>
        <v>16</v>
      </c>
      <c r="AC78" s="23">
        <f t="shared" si="66"/>
        <v>16</v>
      </c>
      <c r="AD78" s="23">
        <f t="shared" si="66"/>
        <v>17</v>
      </c>
      <c r="AE78" s="23">
        <f t="shared" si="66"/>
        <v>16</v>
      </c>
      <c r="AF78" s="23">
        <f t="shared" si="66"/>
        <v>16</v>
      </c>
      <c r="AG78" s="23">
        <f t="shared" si="66"/>
        <v>17</v>
      </c>
      <c r="AH78" s="23">
        <f t="shared" si="66"/>
        <v>16</v>
      </c>
      <c r="AI78" s="23">
        <f t="shared" si="66"/>
        <v>16</v>
      </c>
      <c r="AJ78" s="23">
        <f t="shared" si="66"/>
        <v>16</v>
      </c>
      <c r="AK78" s="23">
        <f t="shared" ref="AK78:BC78" si="67">COUNTIF(AK6:AK76,"D*")</f>
        <v>16</v>
      </c>
      <c r="AL78" s="23">
        <f t="shared" si="67"/>
        <v>16</v>
      </c>
      <c r="AM78" s="23">
        <f t="shared" si="67"/>
        <v>16</v>
      </c>
      <c r="AN78" s="23">
        <f t="shared" si="67"/>
        <v>16</v>
      </c>
      <c r="AO78" s="23">
        <f t="shared" si="67"/>
        <v>16</v>
      </c>
      <c r="AP78" s="23">
        <f t="shared" si="67"/>
        <v>16</v>
      </c>
      <c r="AQ78" s="23">
        <f t="shared" si="67"/>
        <v>16</v>
      </c>
      <c r="AR78" s="23">
        <f t="shared" si="67"/>
        <v>16</v>
      </c>
      <c r="AS78" s="23">
        <f t="shared" si="67"/>
        <v>16</v>
      </c>
      <c r="AT78" s="23">
        <f t="shared" si="67"/>
        <v>16</v>
      </c>
      <c r="AU78" s="23">
        <f t="shared" si="67"/>
        <v>17</v>
      </c>
      <c r="AV78" s="23">
        <f t="shared" si="67"/>
        <v>16</v>
      </c>
      <c r="AW78" s="23">
        <f t="shared" si="67"/>
        <v>16</v>
      </c>
      <c r="AX78" s="23">
        <f t="shared" si="67"/>
        <v>16</v>
      </c>
      <c r="AY78" s="23">
        <f t="shared" si="67"/>
        <v>16</v>
      </c>
      <c r="AZ78" s="23">
        <f t="shared" si="67"/>
        <v>16</v>
      </c>
      <c r="BA78" s="23">
        <f t="shared" si="67"/>
        <v>16</v>
      </c>
      <c r="BB78" s="23">
        <f t="shared" si="67"/>
        <v>16</v>
      </c>
      <c r="BC78" s="23">
        <f t="shared" si="67"/>
        <v>16</v>
      </c>
      <c r="BD78" s="22" t="str">
        <f>C78</f>
        <v>D</v>
      </c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3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</row>
    <row r="79" spans="1:156" s="3" customFormat="1" ht="30" customHeight="1">
      <c r="A79" s="102"/>
      <c r="B79" s="103"/>
      <c r="C79" s="23" t="s">
        <v>104</v>
      </c>
      <c r="D79" s="23">
        <f>COUNTIF(D5:D76,"E*")</f>
        <v>16</v>
      </c>
      <c r="E79" s="23">
        <f t="shared" ref="E79:AJ79" si="68">COUNTIF(E6:E76,"E*")</f>
        <v>15</v>
      </c>
      <c r="F79" s="23">
        <f t="shared" si="68"/>
        <v>16</v>
      </c>
      <c r="G79" s="23">
        <f t="shared" si="68"/>
        <v>16</v>
      </c>
      <c r="H79" s="23">
        <f t="shared" si="68"/>
        <v>16</v>
      </c>
      <c r="I79" s="23">
        <f t="shared" si="68"/>
        <v>14</v>
      </c>
      <c r="J79" s="23">
        <f t="shared" si="68"/>
        <v>13</v>
      </c>
      <c r="K79" s="23">
        <f t="shared" si="68"/>
        <v>15</v>
      </c>
      <c r="L79" s="23">
        <f t="shared" si="68"/>
        <v>14</v>
      </c>
      <c r="M79" s="23">
        <f t="shared" si="68"/>
        <v>15</v>
      </c>
      <c r="N79" s="23">
        <f t="shared" si="68"/>
        <v>16</v>
      </c>
      <c r="O79" s="23">
        <f t="shared" si="68"/>
        <v>15</v>
      </c>
      <c r="P79" s="23">
        <f t="shared" si="68"/>
        <v>16</v>
      </c>
      <c r="Q79" s="23">
        <f t="shared" si="68"/>
        <v>16</v>
      </c>
      <c r="R79" s="23">
        <f t="shared" si="68"/>
        <v>16</v>
      </c>
      <c r="S79" s="23">
        <f t="shared" si="68"/>
        <v>17</v>
      </c>
      <c r="T79" s="23">
        <f t="shared" si="68"/>
        <v>16</v>
      </c>
      <c r="U79" s="23">
        <f t="shared" si="68"/>
        <v>16</v>
      </c>
      <c r="V79" s="23">
        <f t="shared" si="68"/>
        <v>16</v>
      </c>
      <c r="W79" s="23">
        <f t="shared" si="68"/>
        <v>16</v>
      </c>
      <c r="X79" s="23">
        <f t="shared" si="68"/>
        <v>16</v>
      </c>
      <c r="Y79" s="43">
        <f t="shared" si="68"/>
        <v>15</v>
      </c>
      <c r="Z79" s="45">
        <f t="shared" si="68"/>
        <v>15</v>
      </c>
      <c r="AA79" s="23">
        <f t="shared" si="68"/>
        <v>15</v>
      </c>
      <c r="AB79" s="23">
        <f t="shared" si="68"/>
        <v>15</v>
      </c>
      <c r="AC79" s="23">
        <f t="shared" si="68"/>
        <v>15</v>
      </c>
      <c r="AD79" s="23">
        <f t="shared" si="68"/>
        <v>16</v>
      </c>
      <c r="AE79" s="23">
        <f t="shared" si="68"/>
        <v>16</v>
      </c>
      <c r="AF79" s="23">
        <f t="shared" si="68"/>
        <v>15</v>
      </c>
      <c r="AG79" s="23">
        <f t="shared" si="68"/>
        <v>15</v>
      </c>
      <c r="AH79" s="23">
        <f t="shared" si="68"/>
        <v>16</v>
      </c>
      <c r="AI79" s="23">
        <f t="shared" si="68"/>
        <v>15</v>
      </c>
      <c r="AJ79" s="23">
        <f t="shared" si="68"/>
        <v>15</v>
      </c>
      <c r="AK79" s="23">
        <f t="shared" ref="AK79:BC79" si="69">COUNTIF(AK6:AK76,"E*")</f>
        <v>16</v>
      </c>
      <c r="AL79" s="23">
        <f t="shared" si="69"/>
        <v>16</v>
      </c>
      <c r="AM79" s="23">
        <f t="shared" si="69"/>
        <v>15</v>
      </c>
      <c r="AN79" s="23">
        <f t="shared" si="69"/>
        <v>15</v>
      </c>
      <c r="AO79" s="23">
        <f t="shared" si="69"/>
        <v>15</v>
      </c>
      <c r="AP79" s="23">
        <f t="shared" si="69"/>
        <v>15</v>
      </c>
      <c r="AQ79" s="23">
        <f t="shared" si="69"/>
        <v>16</v>
      </c>
      <c r="AR79" s="23">
        <f t="shared" si="69"/>
        <v>15</v>
      </c>
      <c r="AS79" s="23">
        <f t="shared" si="69"/>
        <v>15</v>
      </c>
      <c r="AT79" s="23">
        <f t="shared" si="69"/>
        <v>15</v>
      </c>
      <c r="AU79" s="23">
        <f t="shared" si="69"/>
        <v>16</v>
      </c>
      <c r="AV79" s="23">
        <f t="shared" si="69"/>
        <v>16</v>
      </c>
      <c r="AW79" s="23">
        <f t="shared" si="69"/>
        <v>15</v>
      </c>
      <c r="AX79" s="23">
        <f t="shared" si="69"/>
        <v>15</v>
      </c>
      <c r="AY79" s="23">
        <f t="shared" si="69"/>
        <v>16</v>
      </c>
      <c r="AZ79" s="23">
        <f t="shared" si="69"/>
        <v>16</v>
      </c>
      <c r="BA79" s="23">
        <f t="shared" si="69"/>
        <v>16</v>
      </c>
      <c r="BB79" s="23">
        <f t="shared" si="69"/>
        <v>15</v>
      </c>
      <c r="BC79" s="23">
        <f t="shared" si="69"/>
        <v>15</v>
      </c>
      <c r="BD79" s="22" t="str">
        <f>C79</f>
        <v>E</v>
      </c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3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</row>
    <row r="80" spans="1:156" s="3" customFormat="1" ht="30" customHeight="1">
      <c r="A80" s="102"/>
      <c r="B80" s="103"/>
      <c r="C80" s="23" t="s">
        <v>8</v>
      </c>
      <c r="D80" s="23">
        <f>COUNTIF(D5:D76,"N*")</f>
        <v>14</v>
      </c>
      <c r="E80" s="23">
        <f t="shared" ref="E80:AJ80" si="70">COUNTIF(E6:E76,"N*")</f>
        <v>14</v>
      </c>
      <c r="F80" s="23">
        <f t="shared" si="70"/>
        <v>14</v>
      </c>
      <c r="G80" s="23">
        <f t="shared" si="70"/>
        <v>14</v>
      </c>
      <c r="H80" s="23">
        <f t="shared" si="70"/>
        <v>14</v>
      </c>
      <c r="I80" s="23">
        <f t="shared" si="70"/>
        <v>12</v>
      </c>
      <c r="J80" s="23">
        <f t="shared" si="70"/>
        <v>14</v>
      </c>
      <c r="K80" s="23">
        <f t="shared" si="70"/>
        <v>14</v>
      </c>
      <c r="L80" s="23">
        <f t="shared" si="70"/>
        <v>14</v>
      </c>
      <c r="M80" s="23">
        <f t="shared" si="70"/>
        <v>14</v>
      </c>
      <c r="N80" s="23">
        <f t="shared" si="70"/>
        <v>14</v>
      </c>
      <c r="O80" s="23">
        <f t="shared" si="70"/>
        <v>14</v>
      </c>
      <c r="P80" s="23">
        <f t="shared" si="70"/>
        <v>14</v>
      </c>
      <c r="Q80" s="23">
        <f t="shared" si="70"/>
        <v>14</v>
      </c>
      <c r="R80" s="23">
        <f t="shared" si="70"/>
        <v>14</v>
      </c>
      <c r="S80" s="23">
        <f t="shared" si="70"/>
        <v>15</v>
      </c>
      <c r="T80" s="23">
        <f t="shared" si="70"/>
        <v>14</v>
      </c>
      <c r="U80" s="23">
        <f t="shared" si="70"/>
        <v>14</v>
      </c>
      <c r="V80" s="23">
        <f t="shared" si="70"/>
        <v>14</v>
      </c>
      <c r="W80" s="23">
        <f t="shared" si="70"/>
        <v>14</v>
      </c>
      <c r="X80" s="23">
        <f t="shared" si="70"/>
        <v>14</v>
      </c>
      <c r="Y80" s="43">
        <f t="shared" si="70"/>
        <v>14</v>
      </c>
      <c r="Z80" s="45">
        <f t="shared" si="70"/>
        <v>14</v>
      </c>
      <c r="AA80" s="23">
        <f t="shared" si="70"/>
        <v>14</v>
      </c>
      <c r="AB80" s="23">
        <f t="shared" si="70"/>
        <v>14</v>
      </c>
      <c r="AC80" s="23">
        <f t="shared" si="70"/>
        <v>14</v>
      </c>
      <c r="AD80" s="23">
        <f t="shared" si="70"/>
        <v>14</v>
      </c>
      <c r="AE80" s="23">
        <f t="shared" si="70"/>
        <v>14</v>
      </c>
      <c r="AF80" s="23">
        <f t="shared" si="70"/>
        <v>14</v>
      </c>
      <c r="AG80" s="23">
        <f t="shared" si="70"/>
        <v>14</v>
      </c>
      <c r="AH80" s="23">
        <f t="shared" si="70"/>
        <v>14</v>
      </c>
      <c r="AI80" s="23">
        <f t="shared" si="70"/>
        <v>14</v>
      </c>
      <c r="AJ80" s="23">
        <f t="shared" si="70"/>
        <v>14</v>
      </c>
      <c r="AK80" s="23">
        <f t="shared" ref="AK80:BC80" si="71">COUNTIF(AK6:AK76,"N*")</f>
        <v>14</v>
      </c>
      <c r="AL80" s="23">
        <f t="shared" si="71"/>
        <v>14</v>
      </c>
      <c r="AM80" s="23">
        <f t="shared" si="71"/>
        <v>14</v>
      </c>
      <c r="AN80" s="23">
        <f t="shared" si="71"/>
        <v>14</v>
      </c>
      <c r="AO80" s="23">
        <f t="shared" si="71"/>
        <v>14</v>
      </c>
      <c r="AP80" s="23">
        <f t="shared" si="71"/>
        <v>14</v>
      </c>
      <c r="AQ80" s="23">
        <f t="shared" si="71"/>
        <v>14</v>
      </c>
      <c r="AR80" s="23">
        <f t="shared" si="71"/>
        <v>14</v>
      </c>
      <c r="AS80" s="23">
        <f t="shared" si="71"/>
        <v>14</v>
      </c>
      <c r="AT80" s="23">
        <f t="shared" si="71"/>
        <v>14</v>
      </c>
      <c r="AU80" s="23">
        <f t="shared" si="71"/>
        <v>14</v>
      </c>
      <c r="AV80" s="23">
        <f t="shared" si="71"/>
        <v>14</v>
      </c>
      <c r="AW80" s="23">
        <f t="shared" si="71"/>
        <v>14</v>
      </c>
      <c r="AX80" s="23">
        <f t="shared" si="71"/>
        <v>14</v>
      </c>
      <c r="AY80" s="23">
        <f t="shared" si="71"/>
        <v>14</v>
      </c>
      <c r="AZ80" s="23">
        <f t="shared" si="71"/>
        <v>14</v>
      </c>
      <c r="BA80" s="23">
        <f t="shared" si="71"/>
        <v>14</v>
      </c>
      <c r="BB80" s="23">
        <f t="shared" si="71"/>
        <v>14</v>
      </c>
      <c r="BC80" s="23">
        <f t="shared" si="71"/>
        <v>14</v>
      </c>
      <c r="BD80" s="22" t="str">
        <f>C80</f>
        <v>N</v>
      </c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1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</row>
    <row r="81" spans="1:156" s="3" customFormat="1" ht="30" customHeight="1">
      <c r="A81" s="104" t="s">
        <v>199</v>
      </c>
      <c r="B81" s="105"/>
      <c r="C81" s="22" t="s">
        <v>105</v>
      </c>
      <c r="D81" s="34">
        <f>COUNTIF(D21:D76,"D*")</f>
        <v>13</v>
      </c>
      <c r="E81" s="34">
        <f t="shared" ref="E81:Y81" si="72">COUNTIF(E20:E76,"D*")</f>
        <v>13</v>
      </c>
      <c r="F81" s="34">
        <f t="shared" si="72"/>
        <v>13</v>
      </c>
      <c r="G81" s="34">
        <f t="shared" si="72"/>
        <v>13</v>
      </c>
      <c r="H81" s="34">
        <f t="shared" si="72"/>
        <v>13</v>
      </c>
      <c r="I81" s="34">
        <f t="shared" si="72"/>
        <v>13</v>
      </c>
      <c r="J81" s="34">
        <f t="shared" si="72"/>
        <v>12</v>
      </c>
      <c r="K81" s="34">
        <f t="shared" si="72"/>
        <v>12</v>
      </c>
      <c r="L81" s="34">
        <f t="shared" si="72"/>
        <v>14</v>
      </c>
      <c r="M81" s="34">
        <f t="shared" si="72"/>
        <v>11</v>
      </c>
      <c r="N81" s="34">
        <f t="shared" si="72"/>
        <v>11</v>
      </c>
      <c r="O81" s="34">
        <f t="shared" si="72"/>
        <v>13</v>
      </c>
      <c r="P81" s="34">
        <f t="shared" si="72"/>
        <v>13</v>
      </c>
      <c r="Q81" s="34">
        <f t="shared" si="72"/>
        <v>13</v>
      </c>
      <c r="R81" s="34">
        <f t="shared" si="72"/>
        <v>14</v>
      </c>
      <c r="S81" s="34">
        <f t="shared" si="72"/>
        <v>12</v>
      </c>
      <c r="T81" s="34">
        <f t="shared" si="72"/>
        <v>12</v>
      </c>
      <c r="U81" s="34">
        <f t="shared" si="72"/>
        <v>12</v>
      </c>
      <c r="V81" s="34">
        <f t="shared" si="72"/>
        <v>13</v>
      </c>
      <c r="W81" s="34">
        <f t="shared" si="72"/>
        <v>14</v>
      </c>
      <c r="X81" s="34">
        <f t="shared" si="72"/>
        <v>13</v>
      </c>
      <c r="Y81" s="54">
        <f t="shared" si="72"/>
        <v>12</v>
      </c>
      <c r="Z81" s="55">
        <f t="shared" ref="Z81:BC81" si="73">COUNTIF(Z22:Z76,"D*")</f>
        <v>11</v>
      </c>
      <c r="AA81" s="34">
        <f t="shared" si="73"/>
        <v>11</v>
      </c>
      <c r="AB81" s="34">
        <f t="shared" si="73"/>
        <v>11</v>
      </c>
      <c r="AC81" s="34">
        <f t="shared" si="73"/>
        <v>12</v>
      </c>
      <c r="AD81" s="34">
        <f t="shared" si="73"/>
        <v>12</v>
      </c>
      <c r="AE81" s="34">
        <f t="shared" si="73"/>
        <v>13</v>
      </c>
      <c r="AF81" s="34">
        <f t="shared" si="73"/>
        <v>12</v>
      </c>
      <c r="AG81" s="34">
        <f t="shared" si="73"/>
        <v>13</v>
      </c>
      <c r="AH81" s="34">
        <f t="shared" si="73"/>
        <v>10</v>
      </c>
      <c r="AI81" s="34">
        <f t="shared" si="73"/>
        <v>11</v>
      </c>
      <c r="AJ81" s="34">
        <f t="shared" si="73"/>
        <v>12</v>
      </c>
      <c r="AK81" s="34">
        <f t="shared" si="73"/>
        <v>12</v>
      </c>
      <c r="AL81" s="34">
        <f t="shared" si="73"/>
        <v>13</v>
      </c>
      <c r="AM81" s="34">
        <f t="shared" si="73"/>
        <v>11</v>
      </c>
      <c r="AN81" s="34">
        <f t="shared" si="73"/>
        <v>9</v>
      </c>
      <c r="AO81" s="34">
        <f t="shared" si="73"/>
        <v>12</v>
      </c>
      <c r="AP81" s="34">
        <f t="shared" si="73"/>
        <v>13</v>
      </c>
      <c r="AQ81" s="34">
        <f t="shared" si="73"/>
        <v>13</v>
      </c>
      <c r="AR81" s="34">
        <f t="shared" si="73"/>
        <v>12</v>
      </c>
      <c r="AS81" s="34">
        <f t="shared" si="73"/>
        <v>12</v>
      </c>
      <c r="AT81" s="34">
        <f t="shared" si="73"/>
        <v>12</v>
      </c>
      <c r="AU81" s="34">
        <f t="shared" si="73"/>
        <v>12</v>
      </c>
      <c r="AV81" s="34">
        <f t="shared" si="73"/>
        <v>10</v>
      </c>
      <c r="AW81" s="34">
        <f t="shared" si="73"/>
        <v>12</v>
      </c>
      <c r="AX81" s="34">
        <f t="shared" si="73"/>
        <v>12</v>
      </c>
      <c r="AY81" s="34">
        <f t="shared" si="73"/>
        <v>10</v>
      </c>
      <c r="AZ81" s="34">
        <f t="shared" si="73"/>
        <v>10</v>
      </c>
      <c r="BA81" s="34">
        <f t="shared" si="73"/>
        <v>11</v>
      </c>
      <c r="BB81" s="34">
        <f t="shared" si="73"/>
        <v>12</v>
      </c>
      <c r="BC81" s="34">
        <f t="shared" si="73"/>
        <v>12</v>
      </c>
      <c r="BD81" s="34" t="s">
        <v>105</v>
      </c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</row>
    <row r="82" spans="1:156" s="3" customFormat="1" ht="30" customHeight="1">
      <c r="A82" s="104"/>
      <c r="B82" s="105"/>
      <c r="C82" s="22" t="s">
        <v>106</v>
      </c>
      <c r="D82" s="34">
        <f>COUNTIF(D21:D76,"E*")</f>
        <v>13</v>
      </c>
      <c r="E82" s="34">
        <f t="shared" ref="E82:Y82" si="74">COUNTIF(E20:E76,"E*")</f>
        <v>12</v>
      </c>
      <c r="F82" s="34">
        <f t="shared" si="74"/>
        <v>13</v>
      </c>
      <c r="G82" s="34">
        <f t="shared" si="74"/>
        <v>13</v>
      </c>
      <c r="H82" s="34">
        <f t="shared" si="74"/>
        <v>14</v>
      </c>
      <c r="I82" s="34">
        <f t="shared" si="74"/>
        <v>12</v>
      </c>
      <c r="J82" s="34">
        <f t="shared" si="74"/>
        <v>10</v>
      </c>
      <c r="K82" s="34">
        <f t="shared" si="74"/>
        <v>13</v>
      </c>
      <c r="L82" s="34">
        <f t="shared" si="74"/>
        <v>11</v>
      </c>
      <c r="M82" s="34">
        <f t="shared" si="74"/>
        <v>14</v>
      </c>
      <c r="N82" s="34">
        <f t="shared" si="74"/>
        <v>14</v>
      </c>
      <c r="O82" s="34">
        <f t="shared" si="74"/>
        <v>13</v>
      </c>
      <c r="P82" s="34">
        <f t="shared" si="74"/>
        <v>14</v>
      </c>
      <c r="Q82" s="34">
        <f t="shared" si="74"/>
        <v>14</v>
      </c>
      <c r="R82" s="34">
        <f t="shared" si="74"/>
        <v>13</v>
      </c>
      <c r="S82" s="34">
        <f t="shared" si="74"/>
        <v>14</v>
      </c>
      <c r="T82" s="34">
        <f t="shared" si="74"/>
        <v>14</v>
      </c>
      <c r="U82" s="34">
        <f t="shared" si="74"/>
        <v>12</v>
      </c>
      <c r="V82" s="34">
        <f t="shared" si="74"/>
        <v>13</v>
      </c>
      <c r="W82" s="34">
        <f t="shared" si="74"/>
        <v>13</v>
      </c>
      <c r="X82" s="34">
        <f t="shared" si="74"/>
        <v>14</v>
      </c>
      <c r="Y82" s="54">
        <f t="shared" si="74"/>
        <v>13</v>
      </c>
      <c r="Z82" s="55">
        <f t="shared" ref="Z82:BC82" si="75">COUNTIF(Z22:Z76,"E*")</f>
        <v>13</v>
      </c>
      <c r="AA82" s="34">
        <f t="shared" si="75"/>
        <v>12</v>
      </c>
      <c r="AB82" s="34">
        <f t="shared" si="75"/>
        <v>12</v>
      </c>
      <c r="AC82" s="34">
        <f t="shared" si="75"/>
        <v>13</v>
      </c>
      <c r="AD82" s="34">
        <f t="shared" si="75"/>
        <v>13</v>
      </c>
      <c r="AE82" s="34">
        <f t="shared" si="75"/>
        <v>13</v>
      </c>
      <c r="AF82" s="34">
        <f t="shared" si="75"/>
        <v>11</v>
      </c>
      <c r="AG82" s="34">
        <f t="shared" si="75"/>
        <v>13</v>
      </c>
      <c r="AH82" s="34">
        <f t="shared" si="75"/>
        <v>13</v>
      </c>
      <c r="AI82" s="34">
        <f t="shared" si="75"/>
        <v>13</v>
      </c>
      <c r="AJ82" s="34">
        <f t="shared" si="75"/>
        <v>13</v>
      </c>
      <c r="AK82" s="34">
        <f t="shared" si="75"/>
        <v>13</v>
      </c>
      <c r="AL82" s="34">
        <f t="shared" si="75"/>
        <v>14</v>
      </c>
      <c r="AM82" s="34">
        <f t="shared" si="75"/>
        <v>13</v>
      </c>
      <c r="AN82" s="34">
        <f t="shared" si="75"/>
        <v>13</v>
      </c>
      <c r="AO82" s="34">
        <f t="shared" si="75"/>
        <v>12</v>
      </c>
      <c r="AP82" s="34">
        <f t="shared" si="75"/>
        <v>11</v>
      </c>
      <c r="AQ82" s="34">
        <f t="shared" si="75"/>
        <v>12</v>
      </c>
      <c r="AR82" s="34">
        <f t="shared" si="75"/>
        <v>12</v>
      </c>
      <c r="AS82" s="34">
        <f t="shared" si="75"/>
        <v>13</v>
      </c>
      <c r="AT82" s="34">
        <f t="shared" si="75"/>
        <v>12</v>
      </c>
      <c r="AU82" s="34">
        <f t="shared" si="75"/>
        <v>12</v>
      </c>
      <c r="AV82" s="34">
        <f t="shared" si="75"/>
        <v>12</v>
      </c>
      <c r="AW82" s="34">
        <f t="shared" si="75"/>
        <v>13</v>
      </c>
      <c r="AX82" s="34">
        <f t="shared" si="75"/>
        <v>14</v>
      </c>
      <c r="AY82" s="34">
        <f t="shared" si="75"/>
        <v>12</v>
      </c>
      <c r="AZ82" s="34">
        <f t="shared" si="75"/>
        <v>12</v>
      </c>
      <c r="BA82" s="34">
        <f t="shared" si="75"/>
        <v>13</v>
      </c>
      <c r="BB82" s="34">
        <f t="shared" si="75"/>
        <v>13</v>
      </c>
      <c r="BC82" s="34">
        <f t="shared" si="75"/>
        <v>14</v>
      </c>
      <c r="BD82" s="34" t="s">
        <v>106</v>
      </c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1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</row>
    <row r="83" spans="1:156" s="3" customFormat="1" ht="30" customHeight="1">
      <c r="A83" s="104"/>
      <c r="B83" s="105"/>
      <c r="C83" s="22" t="s">
        <v>107</v>
      </c>
      <c r="D83" s="34">
        <f>COUNTIF(D21:D76,"N*")</f>
        <v>12</v>
      </c>
      <c r="E83" s="34">
        <f t="shared" ref="E83:Y83" si="76">COUNTIF(E20:E76,"N*")</f>
        <v>11</v>
      </c>
      <c r="F83" s="34">
        <f t="shared" si="76"/>
        <v>12</v>
      </c>
      <c r="G83" s="34">
        <f t="shared" si="76"/>
        <v>11</v>
      </c>
      <c r="H83" s="34">
        <f t="shared" si="76"/>
        <v>12</v>
      </c>
      <c r="I83" s="34">
        <f t="shared" si="76"/>
        <v>10</v>
      </c>
      <c r="J83" s="34">
        <f t="shared" si="76"/>
        <v>12</v>
      </c>
      <c r="K83" s="34">
        <f t="shared" si="76"/>
        <v>12</v>
      </c>
      <c r="L83" s="34">
        <f t="shared" si="76"/>
        <v>12</v>
      </c>
      <c r="M83" s="34">
        <f t="shared" si="76"/>
        <v>10</v>
      </c>
      <c r="N83" s="34">
        <f t="shared" si="76"/>
        <v>11</v>
      </c>
      <c r="O83" s="34">
        <f t="shared" si="76"/>
        <v>9</v>
      </c>
      <c r="P83" s="34">
        <f t="shared" si="76"/>
        <v>10</v>
      </c>
      <c r="Q83" s="34">
        <f t="shared" si="76"/>
        <v>12</v>
      </c>
      <c r="R83" s="34">
        <f t="shared" si="76"/>
        <v>11</v>
      </c>
      <c r="S83" s="34">
        <f t="shared" si="76"/>
        <v>11</v>
      </c>
      <c r="T83" s="34">
        <f t="shared" si="76"/>
        <v>10</v>
      </c>
      <c r="U83" s="34">
        <f t="shared" si="76"/>
        <v>12</v>
      </c>
      <c r="V83" s="34">
        <f t="shared" si="76"/>
        <v>12</v>
      </c>
      <c r="W83" s="34">
        <f t="shared" si="76"/>
        <v>11</v>
      </c>
      <c r="X83" s="34">
        <f t="shared" si="76"/>
        <v>11</v>
      </c>
      <c r="Y83" s="54">
        <f t="shared" si="76"/>
        <v>11</v>
      </c>
      <c r="Z83" s="55">
        <f t="shared" ref="Z83:BC83" si="77">COUNTIF(Z22:Z76,"N*")</f>
        <v>10</v>
      </c>
      <c r="AA83" s="34">
        <f t="shared" si="77"/>
        <v>10</v>
      </c>
      <c r="AB83" s="34">
        <f t="shared" si="77"/>
        <v>10</v>
      </c>
      <c r="AC83" s="34">
        <f t="shared" si="77"/>
        <v>11</v>
      </c>
      <c r="AD83" s="34">
        <f t="shared" si="77"/>
        <v>11</v>
      </c>
      <c r="AE83" s="34">
        <f t="shared" si="77"/>
        <v>12</v>
      </c>
      <c r="AF83" s="34">
        <f t="shared" si="77"/>
        <v>11</v>
      </c>
      <c r="AG83" s="34">
        <f t="shared" si="77"/>
        <v>10</v>
      </c>
      <c r="AH83" s="34">
        <f t="shared" si="77"/>
        <v>10</v>
      </c>
      <c r="AI83" s="34">
        <f t="shared" si="77"/>
        <v>12</v>
      </c>
      <c r="AJ83" s="34">
        <f t="shared" si="77"/>
        <v>12</v>
      </c>
      <c r="AK83" s="34">
        <f t="shared" si="77"/>
        <v>11</v>
      </c>
      <c r="AL83" s="34">
        <f t="shared" si="77"/>
        <v>11</v>
      </c>
      <c r="AM83" s="34">
        <f t="shared" si="77"/>
        <v>12</v>
      </c>
      <c r="AN83" s="34">
        <f t="shared" si="77"/>
        <v>11</v>
      </c>
      <c r="AO83" s="34">
        <f t="shared" si="77"/>
        <v>11</v>
      </c>
      <c r="AP83" s="34">
        <f t="shared" si="77"/>
        <v>11</v>
      </c>
      <c r="AQ83" s="34">
        <f t="shared" si="77"/>
        <v>12</v>
      </c>
      <c r="AR83" s="34">
        <f t="shared" si="77"/>
        <v>12</v>
      </c>
      <c r="AS83" s="34">
        <f t="shared" si="77"/>
        <v>11</v>
      </c>
      <c r="AT83" s="34">
        <f t="shared" si="77"/>
        <v>12</v>
      </c>
      <c r="AU83" s="34">
        <f t="shared" si="77"/>
        <v>11</v>
      </c>
      <c r="AV83" s="34">
        <f t="shared" si="77"/>
        <v>11</v>
      </c>
      <c r="AW83" s="34">
        <f t="shared" si="77"/>
        <v>12</v>
      </c>
      <c r="AX83" s="34">
        <f t="shared" si="77"/>
        <v>12</v>
      </c>
      <c r="AY83" s="34">
        <f t="shared" si="77"/>
        <v>12</v>
      </c>
      <c r="AZ83" s="34">
        <f t="shared" si="77"/>
        <v>12</v>
      </c>
      <c r="BA83" s="34">
        <f t="shared" si="77"/>
        <v>11</v>
      </c>
      <c r="BB83" s="34">
        <f t="shared" si="77"/>
        <v>12</v>
      </c>
      <c r="BC83" s="34">
        <f t="shared" si="77"/>
        <v>11</v>
      </c>
      <c r="BD83" s="34" t="s">
        <v>107</v>
      </c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1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</row>
    <row r="84" spans="1:156" s="3" customFormat="1" ht="30" customHeight="1">
      <c r="A84" s="102" t="s">
        <v>198</v>
      </c>
      <c r="B84" s="103"/>
      <c r="C84" s="23" t="s">
        <v>108</v>
      </c>
      <c r="D84" s="23">
        <f t="shared" ref="D84:AI84" si="78">COUNTIF(D35:D76,"D*")</f>
        <v>9</v>
      </c>
      <c r="E84" s="23">
        <f t="shared" si="78"/>
        <v>9</v>
      </c>
      <c r="F84" s="23">
        <f t="shared" si="78"/>
        <v>8</v>
      </c>
      <c r="G84" s="23">
        <f t="shared" si="78"/>
        <v>9</v>
      </c>
      <c r="H84" s="23">
        <f t="shared" si="78"/>
        <v>9</v>
      </c>
      <c r="I84" s="23">
        <f t="shared" si="78"/>
        <v>9</v>
      </c>
      <c r="J84" s="23">
        <f t="shared" si="78"/>
        <v>8</v>
      </c>
      <c r="K84" s="23">
        <f t="shared" si="78"/>
        <v>8</v>
      </c>
      <c r="L84" s="23">
        <f t="shared" si="78"/>
        <v>11</v>
      </c>
      <c r="M84" s="23">
        <f t="shared" si="78"/>
        <v>10</v>
      </c>
      <c r="N84" s="23">
        <f t="shared" si="78"/>
        <v>11</v>
      </c>
      <c r="O84" s="23">
        <f t="shared" si="78"/>
        <v>11</v>
      </c>
      <c r="P84" s="23">
        <f t="shared" si="78"/>
        <v>10</v>
      </c>
      <c r="Q84" s="23">
        <f t="shared" si="78"/>
        <v>9</v>
      </c>
      <c r="R84" s="23">
        <f t="shared" si="78"/>
        <v>9</v>
      </c>
      <c r="S84" s="23">
        <f t="shared" si="78"/>
        <v>10</v>
      </c>
      <c r="T84" s="23">
        <f t="shared" si="78"/>
        <v>10</v>
      </c>
      <c r="U84" s="23">
        <f t="shared" si="78"/>
        <v>8</v>
      </c>
      <c r="V84" s="23">
        <f t="shared" si="78"/>
        <v>9</v>
      </c>
      <c r="W84" s="23">
        <f t="shared" si="78"/>
        <v>9</v>
      </c>
      <c r="X84" s="23">
        <f t="shared" si="78"/>
        <v>10</v>
      </c>
      <c r="Y84" s="43">
        <f t="shared" si="78"/>
        <v>9</v>
      </c>
      <c r="Z84" s="45">
        <f t="shared" si="78"/>
        <v>9</v>
      </c>
      <c r="AA84" s="23">
        <f t="shared" si="78"/>
        <v>9</v>
      </c>
      <c r="AB84" s="23">
        <f t="shared" si="78"/>
        <v>10</v>
      </c>
      <c r="AC84" s="23">
        <f t="shared" si="78"/>
        <v>10</v>
      </c>
      <c r="AD84" s="23">
        <f t="shared" si="78"/>
        <v>11</v>
      </c>
      <c r="AE84" s="23">
        <f t="shared" si="78"/>
        <v>11</v>
      </c>
      <c r="AF84" s="23">
        <f t="shared" si="78"/>
        <v>10</v>
      </c>
      <c r="AG84" s="23">
        <f t="shared" si="78"/>
        <v>11</v>
      </c>
      <c r="AH84" s="23">
        <f t="shared" si="78"/>
        <v>10</v>
      </c>
      <c r="AI84" s="23">
        <f t="shared" si="78"/>
        <v>10</v>
      </c>
      <c r="AJ84" s="23">
        <f t="shared" ref="AJ84:BC84" si="79">COUNTIF(AJ35:AJ76,"D*")</f>
        <v>11</v>
      </c>
      <c r="AK84" s="23">
        <f t="shared" si="79"/>
        <v>11</v>
      </c>
      <c r="AL84" s="23">
        <f t="shared" si="79"/>
        <v>11</v>
      </c>
      <c r="AM84" s="23">
        <f t="shared" si="79"/>
        <v>9</v>
      </c>
      <c r="AN84" s="23">
        <f t="shared" si="79"/>
        <v>6</v>
      </c>
      <c r="AO84" s="23">
        <f t="shared" si="79"/>
        <v>11</v>
      </c>
      <c r="AP84" s="23">
        <f t="shared" si="79"/>
        <v>10</v>
      </c>
      <c r="AQ84" s="23">
        <f t="shared" si="79"/>
        <v>11</v>
      </c>
      <c r="AR84" s="23">
        <f t="shared" si="79"/>
        <v>10</v>
      </c>
      <c r="AS84" s="23">
        <f t="shared" si="79"/>
        <v>9</v>
      </c>
      <c r="AT84" s="23">
        <f t="shared" si="79"/>
        <v>9</v>
      </c>
      <c r="AU84" s="23">
        <f t="shared" si="79"/>
        <v>8</v>
      </c>
      <c r="AV84" s="23">
        <f t="shared" si="79"/>
        <v>8</v>
      </c>
      <c r="AW84" s="23">
        <f t="shared" si="79"/>
        <v>10</v>
      </c>
      <c r="AX84" s="23">
        <f t="shared" si="79"/>
        <v>10</v>
      </c>
      <c r="AY84" s="23">
        <f t="shared" si="79"/>
        <v>8</v>
      </c>
      <c r="AZ84" s="23">
        <f t="shared" si="79"/>
        <v>7</v>
      </c>
      <c r="BA84" s="23">
        <f t="shared" si="79"/>
        <v>8</v>
      </c>
      <c r="BB84" s="23">
        <f t="shared" si="79"/>
        <v>10</v>
      </c>
      <c r="BC84" s="23">
        <f t="shared" si="79"/>
        <v>10</v>
      </c>
      <c r="BD84" s="34" t="s">
        <v>108</v>
      </c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</row>
    <row r="85" spans="1:156" s="3" customFormat="1" ht="30" customHeight="1">
      <c r="A85" s="102"/>
      <c r="B85" s="103"/>
      <c r="C85" s="23" t="s">
        <v>109</v>
      </c>
      <c r="D85" s="23">
        <f t="shared" ref="D85:AI85" si="80">COUNTIF(D35:D76,"E*")</f>
        <v>10</v>
      </c>
      <c r="E85" s="23">
        <f t="shared" si="80"/>
        <v>10</v>
      </c>
      <c r="F85" s="23">
        <f t="shared" si="80"/>
        <v>11</v>
      </c>
      <c r="G85" s="23">
        <f t="shared" si="80"/>
        <v>11</v>
      </c>
      <c r="H85" s="23">
        <f t="shared" si="80"/>
        <v>11</v>
      </c>
      <c r="I85" s="23">
        <f t="shared" si="80"/>
        <v>9</v>
      </c>
      <c r="J85" s="23">
        <f t="shared" si="80"/>
        <v>7</v>
      </c>
      <c r="K85" s="23">
        <f t="shared" si="80"/>
        <v>9</v>
      </c>
      <c r="L85" s="23">
        <f t="shared" si="80"/>
        <v>9</v>
      </c>
      <c r="M85" s="23">
        <f t="shared" si="80"/>
        <v>11</v>
      </c>
      <c r="N85" s="23">
        <f t="shared" si="80"/>
        <v>11</v>
      </c>
      <c r="O85" s="23">
        <f t="shared" si="80"/>
        <v>9</v>
      </c>
      <c r="P85" s="23">
        <f t="shared" si="80"/>
        <v>9</v>
      </c>
      <c r="Q85" s="23">
        <f t="shared" si="80"/>
        <v>10</v>
      </c>
      <c r="R85" s="23">
        <f t="shared" si="80"/>
        <v>10</v>
      </c>
      <c r="S85" s="23">
        <f t="shared" si="80"/>
        <v>12</v>
      </c>
      <c r="T85" s="23">
        <f t="shared" si="80"/>
        <v>11</v>
      </c>
      <c r="U85" s="23">
        <f t="shared" si="80"/>
        <v>10</v>
      </c>
      <c r="V85" s="23">
        <f t="shared" si="80"/>
        <v>11</v>
      </c>
      <c r="W85" s="23">
        <f t="shared" si="80"/>
        <v>10</v>
      </c>
      <c r="X85" s="23">
        <f t="shared" si="80"/>
        <v>10</v>
      </c>
      <c r="Y85" s="43">
        <f t="shared" si="80"/>
        <v>9</v>
      </c>
      <c r="Z85" s="45">
        <f t="shared" si="80"/>
        <v>10</v>
      </c>
      <c r="AA85" s="23">
        <f t="shared" si="80"/>
        <v>10</v>
      </c>
      <c r="AB85" s="23">
        <f t="shared" si="80"/>
        <v>10</v>
      </c>
      <c r="AC85" s="23">
        <f t="shared" si="80"/>
        <v>11</v>
      </c>
      <c r="AD85" s="23">
        <f t="shared" si="80"/>
        <v>10</v>
      </c>
      <c r="AE85" s="23">
        <f t="shared" si="80"/>
        <v>11</v>
      </c>
      <c r="AF85" s="23">
        <f t="shared" si="80"/>
        <v>9</v>
      </c>
      <c r="AG85" s="23">
        <f t="shared" si="80"/>
        <v>10</v>
      </c>
      <c r="AH85" s="23">
        <f t="shared" si="80"/>
        <v>9</v>
      </c>
      <c r="AI85" s="23">
        <f t="shared" si="80"/>
        <v>10</v>
      </c>
      <c r="AJ85" s="23">
        <f t="shared" ref="AJ85:BC85" si="81">COUNTIF(AJ35:AJ76,"E*")</f>
        <v>10</v>
      </c>
      <c r="AK85" s="23">
        <f t="shared" si="81"/>
        <v>11</v>
      </c>
      <c r="AL85" s="23">
        <f t="shared" si="81"/>
        <v>11</v>
      </c>
      <c r="AM85" s="23">
        <f t="shared" si="81"/>
        <v>10</v>
      </c>
      <c r="AN85" s="23">
        <f t="shared" si="81"/>
        <v>10</v>
      </c>
      <c r="AO85" s="23">
        <f t="shared" si="81"/>
        <v>11</v>
      </c>
      <c r="AP85" s="23">
        <f t="shared" si="81"/>
        <v>9</v>
      </c>
      <c r="AQ85" s="23">
        <f t="shared" si="81"/>
        <v>10</v>
      </c>
      <c r="AR85" s="23">
        <f t="shared" si="81"/>
        <v>9</v>
      </c>
      <c r="AS85" s="23">
        <f t="shared" si="81"/>
        <v>11</v>
      </c>
      <c r="AT85" s="23">
        <f t="shared" si="81"/>
        <v>11</v>
      </c>
      <c r="AU85" s="23">
        <f t="shared" si="81"/>
        <v>9</v>
      </c>
      <c r="AV85" s="23">
        <f t="shared" si="81"/>
        <v>8</v>
      </c>
      <c r="AW85" s="23">
        <f t="shared" si="81"/>
        <v>9</v>
      </c>
      <c r="AX85" s="23">
        <f t="shared" si="81"/>
        <v>10</v>
      </c>
      <c r="AY85" s="23">
        <f t="shared" si="81"/>
        <v>10</v>
      </c>
      <c r="AZ85" s="23">
        <f t="shared" si="81"/>
        <v>9</v>
      </c>
      <c r="BA85" s="23">
        <f t="shared" si="81"/>
        <v>9</v>
      </c>
      <c r="BB85" s="23">
        <f t="shared" si="81"/>
        <v>10</v>
      </c>
      <c r="BC85" s="23">
        <f t="shared" si="81"/>
        <v>11</v>
      </c>
      <c r="BD85" s="34" t="s">
        <v>109</v>
      </c>
      <c r="BE85" s="4"/>
      <c r="BF85" s="32"/>
      <c r="BG85" s="32"/>
      <c r="BH85" s="32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</row>
    <row r="86" spans="1:156" s="3" customFormat="1" ht="30" customHeight="1">
      <c r="A86" s="102"/>
      <c r="B86" s="103"/>
      <c r="C86" s="23" t="s">
        <v>110</v>
      </c>
      <c r="D86" s="23">
        <f t="shared" ref="D86:AI86" si="82">COUNTIF(D35:D76,"N*")</f>
        <v>9</v>
      </c>
      <c r="E86" s="23">
        <f t="shared" si="82"/>
        <v>8</v>
      </c>
      <c r="F86" s="23">
        <f t="shared" si="82"/>
        <v>8</v>
      </c>
      <c r="G86" s="23">
        <f t="shared" si="82"/>
        <v>9</v>
      </c>
      <c r="H86" s="23">
        <f t="shared" si="82"/>
        <v>9</v>
      </c>
      <c r="I86" s="23">
        <f t="shared" si="82"/>
        <v>7</v>
      </c>
      <c r="J86" s="23">
        <f t="shared" si="82"/>
        <v>8</v>
      </c>
      <c r="K86" s="23">
        <f t="shared" si="82"/>
        <v>9</v>
      </c>
      <c r="L86" s="23">
        <f t="shared" si="82"/>
        <v>8</v>
      </c>
      <c r="M86" s="23">
        <f t="shared" si="82"/>
        <v>8</v>
      </c>
      <c r="N86" s="23">
        <f t="shared" si="82"/>
        <v>9</v>
      </c>
      <c r="O86" s="23">
        <f t="shared" si="82"/>
        <v>8</v>
      </c>
      <c r="P86" s="23">
        <f t="shared" si="82"/>
        <v>7</v>
      </c>
      <c r="Q86" s="23">
        <f t="shared" si="82"/>
        <v>9</v>
      </c>
      <c r="R86" s="23">
        <f t="shared" si="82"/>
        <v>8</v>
      </c>
      <c r="S86" s="23">
        <f t="shared" si="82"/>
        <v>9</v>
      </c>
      <c r="T86" s="23">
        <f t="shared" si="82"/>
        <v>8</v>
      </c>
      <c r="U86" s="23">
        <f t="shared" si="82"/>
        <v>9</v>
      </c>
      <c r="V86" s="23">
        <f t="shared" si="82"/>
        <v>9</v>
      </c>
      <c r="W86" s="23">
        <f t="shared" si="82"/>
        <v>8</v>
      </c>
      <c r="X86" s="23">
        <f t="shared" si="82"/>
        <v>8</v>
      </c>
      <c r="Y86" s="43">
        <f t="shared" si="82"/>
        <v>8</v>
      </c>
      <c r="Z86" s="45">
        <f t="shared" si="82"/>
        <v>5</v>
      </c>
      <c r="AA86" s="23">
        <f t="shared" si="82"/>
        <v>6</v>
      </c>
      <c r="AB86" s="23">
        <f t="shared" si="82"/>
        <v>6</v>
      </c>
      <c r="AC86" s="23">
        <f t="shared" si="82"/>
        <v>7</v>
      </c>
      <c r="AD86" s="23">
        <f t="shared" si="82"/>
        <v>7</v>
      </c>
      <c r="AE86" s="23">
        <f t="shared" si="82"/>
        <v>9</v>
      </c>
      <c r="AF86" s="23">
        <f t="shared" si="82"/>
        <v>9</v>
      </c>
      <c r="AG86" s="23">
        <f t="shared" si="82"/>
        <v>6</v>
      </c>
      <c r="AH86" s="23">
        <f t="shared" si="82"/>
        <v>6</v>
      </c>
      <c r="AI86" s="23">
        <f t="shared" si="82"/>
        <v>6</v>
      </c>
      <c r="AJ86" s="23">
        <f t="shared" ref="AJ86:BC86" si="83">COUNTIF(AJ35:AJ76,"N*")</f>
        <v>9</v>
      </c>
      <c r="AK86" s="23">
        <f t="shared" si="83"/>
        <v>9</v>
      </c>
      <c r="AL86" s="23">
        <f t="shared" si="83"/>
        <v>7</v>
      </c>
      <c r="AM86" s="23">
        <f t="shared" si="83"/>
        <v>8</v>
      </c>
      <c r="AN86" s="23">
        <f t="shared" si="83"/>
        <v>9</v>
      </c>
      <c r="AO86" s="23">
        <f t="shared" si="83"/>
        <v>8</v>
      </c>
      <c r="AP86" s="23">
        <f t="shared" si="83"/>
        <v>9</v>
      </c>
      <c r="AQ86" s="23">
        <f t="shared" si="83"/>
        <v>9</v>
      </c>
      <c r="AR86" s="23">
        <f t="shared" si="83"/>
        <v>9</v>
      </c>
      <c r="AS86" s="23">
        <f t="shared" si="83"/>
        <v>9</v>
      </c>
      <c r="AT86" s="23">
        <f t="shared" si="83"/>
        <v>9</v>
      </c>
      <c r="AU86" s="23">
        <f t="shared" si="83"/>
        <v>9</v>
      </c>
      <c r="AV86" s="23">
        <f t="shared" si="83"/>
        <v>9</v>
      </c>
      <c r="AW86" s="23">
        <f t="shared" si="83"/>
        <v>9</v>
      </c>
      <c r="AX86" s="23">
        <f t="shared" si="83"/>
        <v>9</v>
      </c>
      <c r="AY86" s="23">
        <f t="shared" si="83"/>
        <v>9</v>
      </c>
      <c r="AZ86" s="23">
        <f t="shared" si="83"/>
        <v>9</v>
      </c>
      <c r="BA86" s="23">
        <f t="shared" si="83"/>
        <v>8</v>
      </c>
      <c r="BB86" s="23">
        <f t="shared" si="83"/>
        <v>9</v>
      </c>
      <c r="BC86" s="23">
        <f t="shared" si="83"/>
        <v>9</v>
      </c>
      <c r="BD86" s="34" t="s">
        <v>110</v>
      </c>
      <c r="BE86" s="4"/>
      <c r="BF86" s="32"/>
      <c r="BG86" s="32"/>
      <c r="BH86" s="32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1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</row>
    <row r="87" spans="1:156" s="3" customFormat="1" ht="30" customHeight="1">
      <c r="A87" s="104" t="s">
        <v>197</v>
      </c>
      <c r="B87" s="105"/>
      <c r="C87" s="22" t="s">
        <v>111</v>
      </c>
      <c r="D87" s="34">
        <f>COUNTIF(D48:D76,"D*")</f>
        <v>7</v>
      </c>
      <c r="E87" s="34">
        <f t="shared" ref="E87:AJ87" si="84">COUNTIF(E49:E76,"D*")</f>
        <v>5</v>
      </c>
      <c r="F87" s="34">
        <f t="shared" si="84"/>
        <v>4</v>
      </c>
      <c r="G87" s="34">
        <f t="shared" si="84"/>
        <v>6</v>
      </c>
      <c r="H87" s="34">
        <f t="shared" si="84"/>
        <v>7</v>
      </c>
      <c r="I87" s="34">
        <f t="shared" si="84"/>
        <v>6</v>
      </c>
      <c r="J87" s="34">
        <f t="shared" si="84"/>
        <v>4</v>
      </c>
      <c r="K87" s="34">
        <f t="shared" si="84"/>
        <v>6</v>
      </c>
      <c r="L87" s="34">
        <f t="shared" si="84"/>
        <v>7</v>
      </c>
      <c r="M87" s="34">
        <f t="shared" si="84"/>
        <v>7</v>
      </c>
      <c r="N87" s="34">
        <f t="shared" si="84"/>
        <v>7</v>
      </c>
      <c r="O87" s="34">
        <f t="shared" si="84"/>
        <v>8</v>
      </c>
      <c r="P87" s="34">
        <f t="shared" si="84"/>
        <v>7</v>
      </c>
      <c r="Q87" s="34">
        <f t="shared" si="84"/>
        <v>6</v>
      </c>
      <c r="R87" s="34">
        <f t="shared" si="84"/>
        <v>7</v>
      </c>
      <c r="S87" s="34">
        <f t="shared" si="84"/>
        <v>6</v>
      </c>
      <c r="T87" s="34">
        <f t="shared" si="84"/>
        <v>5</v>
      </c>
      <c r="U87" s="34">
        <f t="shared" si="84"/>
        <v>4</v>
      </c>
      <c r="V87" s="34">
        <f t="shared" si="84"/>
        <v>6</v>
      </c>
      <c r="W87" s="34">
        <f t="shared" si="84"/>
        <v>6</v>
      </c>
      <c r="X87" s="34">
        <f t="shared" si="84"/>
        <v>6</v>
      </c>
      <c r="Y87" s="54">
        <f t="shared" si="84"/>
        <v>5</v>
      </c>
      <c r="Z87" s="55">
        <f t="shared" si="84"/>
        <v>6</v>
      </c>
      <c r="AA87" s="34">
        <f t="shared" si="84"/>
        <v>5</v>
      </c>
      <c r="AB87" s="34">
        <f t="shared" si="84"/>
        <v>7</v>
      </c>
      <c r="AC87" s="34">
        <f t="shared" si="84"/>
        <v>7</v>
      </c>
      <c r="AD87" s="34">
        <f t="shared" si="84"/>
        <v>7</v>
      </c>
      <c r="AE87" s="34">
        <f t="shared" si="84"/>
        <v>7</v>
      </c>
      <c r="AF87" s="34">
        <f t="shared" si="84"/>
        <v>6</v>
      </c>
      <c r="AG87" s="34">
        <f t="shared" si="84"/>
        <v>6</v>
      </c>
      <c r="AH87" s="34">
        <f t="shared" si="84"/>
        <v>8</v>
      </c>
      <c r="AI87" s="34">
        <f t="shared" si="84"/>
        <v>8</v>
      </c>
      <c r="AJ87" s="34">
        <f t="shared" si="84"/>
        <v>7</v>
      </c>
      <c r="AK87" s="34">
        <f t="shared" ref="AK87:BC87" si="85">COUNTIF(AK49:AK76,"D*")</f>
        <v>7</v>
      </c>
      <c r="AL87" s="34">
        <f t="shared" si="85"/>
        <v>6</v>
      </c>
      <c r="AM87" s="34">
        <f t="shared" si="85"/>
        <v>6</v>
      </c>
      <c r="AN87" s="34">
        <f t="shared" si="85"/>
        <v>5</v>
      </c>
      <c r="AO87" s="34">
        <f t="shared" si="85"/>
        <v>7</v>
      </c>
      <c r="AP87" s="34">
        <f t="shared" si="85"/>
        <v>6</v>
      </c>
      <c r="AQ87" s="34">
        <f t="shared" si="85"/>
        <v>6</v>
      </c>
      <c r="AR87" s="34">
        <f t="shared" si="85"/>
        <v>6</v>
      </c>
      <c r="AS87" s="34">
        <f t="shared" si="85"/>
        <v>8</v>
      </c>
      <c r="AT87" s="34">
        <f t="shared" si="85"/>
        <v>7</v>
      </c>
      <c r="AU87" s="34">
        <f t="shared" si="85"/>
        <v>6</v>
      </c>
      <c r="AV87" s="34">
        <f t="shared" si="85"/>
        <v>7</v>
      </c>
      <c r="AW87" s="34">
        <f t="shared" si="85"/>
        <v>8</v>
      </c>
      <c r="AX87" s="34">
        <f t="shared" si="85"/>
        <v>7</v>
      </c>
      <c r="AY87" s="34">
        <f t="shared" si="85"/>
        <v>6</v>
      </c>
      <c r="AZ87" s="34">
        <f t="shared" si="85"/>
        <v>6</v>
      </c>
      <c r="BA87" s="34">
        <f t="shared" si="85"/>
        <v>6</v>
      </c>
      <c r="BB87" s="34">
        <f t="shared" si="85"/>
        <v>7</v>
      </c>
      <c r="BC87" s="34">
        <f t="shared" si="85"/>
        <v>8</v>
      </c>
      <c r="BD87" s="34" t="s">
        <v>111</v>
      </c>
      <c r="BE87" s="4"/>
      <c r="BF87" s="32"/>
      <c r="BG87" s="32"/>
      <c r="BH87" s="32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1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</row>
    <row r="88" spans="1:156" s="3" customFormat="1" ht="30" customHeight="1">
      <c r="A88" s="104"/>
      <c r="B88" s="105"/>
      <c r="C88" s="22" t="s">
        <v>112</v>
      </c>
      <c r="D88" s="34">
        <f>COUNTIF(D48:D76,"E*")</f>
        <v>7</v>
      </c>
      <c r="E88" s="34">
        <f t="shared" ref="E88:AJ88" si="86">COUNTIF(E49:E76,"E*")</f>
        <v>8</v>
      </c>
      <c r="F88" s="34">
        <f t="shared" si="86"/>
        <v>7</v>
      </c>
      <c r="G88" s="34">
        <f t="shared" si="86"/>
        <v>9</v>
      </c>
      <c r="H88" s="34">
        <f t="shared" si="86"/>
        <v>9</v>
      </c>
      <c r="I88" s="34">
        <f t="shared" si="86"/>
        <v>7</v>
      </c>
      <c r="J88" s="34">
        <f t="shared" si="86"/>
        <v>6</v>
      </c>
      <c r="K88" s="34">
        <f t="shared" si="86"/>
        <v>6</v>
      </c>
      <c r="L88" s="34">
        <f t="shared" si="86"/>
        <v>8</v>
      </c>
      <c r="M88" s="34">
        <f t="shared" si="86"/>
        <v>7</v>
      </c>
      <c r="N88" s="34">
        <f t="shared" si="86"/>
        <v>9</v>
      </c>
      <c r="O88" s="34">
        <f t="shared" si="86"/>
        <v>6</v>
      </c>
      <c r="P88" s="34">
        <f t="shared" si="86"/>
        <v>5</v>
      </c>
      <c r="Q88" s="34">
        <f t="shared" si="86"/>
        <v>8</v>
      </c>
      <c r="R88" s="34">
        <f t="shared" si="86"/>
        <v>6</v>
      </c>
      <c r="S88" s="34">
        <f t="shared" si="86"/>
        <v>8</v>
      </c>
      <c r="T88" s="34">
        <f t="shared" si="86"/>
        <v>9</v>
      </c>
      <c r="U88" s="34">
        <f t="shared" si="86"/>
        <v>8</v>
      </c>
      <c r="V88" s="34">
        <f t="shared" si="86"/>
        <v>7</v>
      </c>
      <c r="W88" s="34">
        <f t="shared" si="86"/>
        <v>7</v>
      </c>
      <c r="X88" s="34">
        <f t="shared" si="86"/>
        <v>7</v>
      </c>
      <c r="Y88" s="54">
        <f t="shared" si="86"/>
        <v>7</v>
      </c>
      <c r="Z88" s="55">
        <f t="shared" si="86"/>
        <v>7</v>
      </c>
      <c r="AA88" s="34">
        <f t="shared" si="86"/>
        <v>8</v>
      </c>
      <c r="AB88" s="34">
        <f t="shared" si="86"/>
        <v>7</v>
      </c>
      <c r="AC88" s="34">
        <f t="shared" si="86"/>
        <v>7</v>
      </c>
      <c r="AD88" s="34">
        <f t="shared" si="86"/>
        <v>7</v>
      </c>
      <c r="AE88" s="34">
        <f t="shared" si="86"/>
        <v>7</v>
      </c>
      <c r="AF88" s="34">
        <f t="shared" si="86"/>
        <v>6</v>
      </c>
      <c r="AG88" s="34">
        <f t="shared" si="86"/>
        <v>6</v>
      </c>
      <c r="AH88" s="34">
        <f t="shared" si="86"/>
        <v>6</v>
      </c>
      <c r="AI88" s="34">
        <f t="shared" si="86"/>
        <v>6</v>
      </c>
      <c r="AJ88" s="34">
        <f t="shared" si="86"/>
        <v>8</v>
      </c>
      <c r="AK88" s="34">
        <f t="shared" ref="AK88:BC88" si="87">COUNTIF(AK49:AK76,"E*")</f>
        <v>7</v>
      </c>
      <c r="AL88" s="34">
        <f t="shared" si="87"/>
        <v>8</v>
      </c>
      <c r="AM88" s="34">
        <f t="shared" si="87"/>
        <v>8</v>
      </c>
      <c r="AN88" s="34">
        <f t="shared" si="87"/>
        <v>6</v>
      </c>
      <c r="AO88" s="34">
        <f t="shared" si="87"/>
        <v>8</v>
      </c>
      <c r="AP88" s="34">
        <f t="shared" si="87"/>
        <v>6</v>
      </c>
      <c r="AQ88" s="34">
        <f t="shared" si="87"/>
        <v>7</v>
      </c>
      <c r="AR88" s="34">
        <f t="shared" si="87"/>
        <v>7</v>
      </c>
      <c r="AS88" s="34">
        <f t="shared" si="87"/>
        <v>7</v>
      </c>
      <c r="AT88" s="34">
        <f t="shared" si="87"/>
        <v>7</v>
      </c>
      <c r="AU88" s="34">
        <f t="shared" si="87"/>
        <v>6</v>
      </c>
      <c r="AV88" s="34">
        <f t="shared" si="87"/>
        <v>3</v>
      </c>
      <c r="AW88" s="34">
        <f t="shared" si="87"/>
        <v>5</v>
      </c>
      <c r="AX88" s="34">
        <f t="shared" si="87"/>
        <v>7</v>
      </c>
      <c r="AY88" s="34">
        <f t="shared" si="87"/>
        <v>5</v>
      </c>
      <c r="AZ88" s="34">
        <f t="shared" si="87"/>
        <v>5</v>
      </c>
      <c r="BA88" s="34">
        <f t="shared" si="87"/>
        <v>6</v>
      </c>
      <c r="BB88" s="34">
        <f t="shared" si="87"/>
        <v>8</v>
      </c>
      <c r="BC88" s="34">
        <f t="shared" si="87"/>
        <v>8</v>
      </c>
      <c r="BD88" s="34" t="s">
        <v>112</v>
      </c>
      <c r="BE88" s="4"/>
      <c r="BF88" s="32"/>
      <c r="BG88" s="32"/>
      <c r="BH88" s="32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1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</row>
    <row r="89" spans="1:156" s="3" customFormat="1" ht="30" customHeight="1">
      <c r="A89" s="104"/>
      <c r="B89" s="105"/>
      <c r="C89" s="22" t="s">
        <v>113</v>
      </c>
      <c r="D89" s="34">
        <f>COUNTIF(D48:D76,"N*")</f>
        <v>6</v>
      </c>
      <c r="E89" s="34">
        <f t="shared" ref="E89:AJ89" si="88">COUNTIF(E49:E76,"N*")</f>
        <v>5</v>
      </c>
      <c r="F89" s="34">
        <f t="shared" si="88"/>
        <v>6</v>
      </c>
      <c r="G89" s="34">
        <f t="shared" si="88"/>
        <v>6</v>
      </c>
      <c r="H89" s="34">
        <f t="shared" si="88"/>
        <v>6</v>
      </c>
      <c r="I89" s="34">
        <f t="shared" si="88"/>
        <v>5</v>
      </c>
      <c r="J89" s="34">
        <f t="shared" si="88"/>
        <v>4</v>
      </c>
      <c r="K89" s="34">
        <f t="shared" si="88"/>
        <v>6</v>
      </c>
      <c r="L89" s="34">
        <f t="shared" si="88"/>
        <v>5</v>
      </c>
      <c r="M89" s="34">
        <f t="shared" si="88"/>
        <v>5</v>
      </c>
      <c r="N89" s="34">
        <f t="shared" si="88"/>
        <v>5</v>
      </c>
      <c r="O89" s="34">
        <f t="shared" si="88"/>
        <v>6</v>
      </c>
      <c r="P89" s="34">
        <f t="shared" si="88"/>
        <v>5</v>
      </c>
      <c r="Q89" s="34">
        <f t="shared" si="88"/>
        <v>5</v>
      </c>
      <c r="R89" s="34">
        <f t="shared" si="88"/>
        <v>5</v>
      </c>
      <c r="S89" s="34">
        <f t="shared" si="88"/>
        <v>6</v>
      </c>
      <c r="T89" s="34">
        <f t="shared" si="88"/>
        <v>5</v>
      </c>
      <c r="U89" s="34">
        <f t="shared" si="88"/>
        <v>6</v>
      </c>
      <c r="V89" s="34">
        <f t="shared" si="88"/>
        <v>5</v>
      </c>
      <c r="W89" s="34">
        <f t="shared" si="88"/>
        <v>4</v>
      </c>
      <c r="X89" s="34">
        <f t="shared" si="88"/>
        <v>4</v>
      </c>
      <c r="Y89" s="54">
        <f t="shared" si="88"/>
        <v>5</v>
      </c>
      <c r="Z89" s="55">
        <f t="shared" si="88"/>
        <v>2</v>
      </c>
      <c r="AA89" s="34">
        <f t="shared" si="88"/>
        <v>2</v>
      </c>
      <c r="AB89" s="34">
        <f t="shared" si="88"/>
        <v>3</v>
      </c>
      <c r="AC89" s="34">
        <f t="shared" si="88"/>
        <v>4</v>
      </c>
      <c r="AD89" s="34">
        <f t="shared" si="88"/>
        <v>4</v>
      </c>
      <c r="AE89" s="34">
        <f t="shared" si="88"/>
        <v>5</v>
      </c>
      <c r="AF89" s="34">
        <f t="shared" si="88"/>
        <v>6</v>
      </c>
      <c r="AG89" s="34">
        <f t="shared" si="88"/>
        <v>5</v>
      </c>
      <c r="AH89" s="34">
        <f t="shared" si="88"/>
        <v>3</v>
      </c>
      <c r="AI89" s="34">
        <f t="shared" si="88"/>
        <v>4</v>
      </c>
      <c r="AJ89" s="34">
        <f t="shared" si="88"/>
        <v>6</v>
      </c>
      <c r="AK89" s="34">
        <f t="shared" ref="AK89:BC89" si="89">COUNTIF(AK49:AK76,"N*")</f>
        <v>6</v>
      </c>
      <c r="AL89" s="34">
        <f t="shared" si="89"/>
        <v>5</v>
      </c>
      <c r="AM89" s="34">
        <f t="shared" si="89"/>
        <v>5</v>
      </c>
      <c r="AN89" s="34">
        <f t="shared" si="89"/>
        <v>6</v>
      </c>
      <c r="AO89" s="34">
        <f t="shared" si="89"/>
        <v>5</v>
      </c>
      <c r="AP89" s="34">
        <f t="shared" si="89"/>
        <v>6</v>
      </c>
      <c r="AQ89" s="34">
        <f t="shared" si="89"/>
        <v>6</v>
      </c>
      <c r="AR89" s="34">
        <f t="shared" si="89"/>
        <v>5</v>
      </c>
      <c r="AS89" s="34">
        <f t="shared" si="89"/>
        <v>6</v>
      </c>
      <c r="AT89" s="34">
        <f t="shared" si="89"/>
        <v>6</v>
      </c>
      <c r="AU89" s="34">
        <f t="shared" si="89"/>
        <v>6</v>
      </c>
      <c r="AV89" s="34">
        <f t="shared" si="89"/>
        <v>6</v>
      </c>
      <c r="AW89" s="34">
        <f t="shared" si="89"/>
        <v>6</v>
      </c>
      <c r="AX89" s="34">
        <f t="shared" si="89"/>
        <v>6</v>
      </c>
      <c r="AY89" s="34">
        <f t="shared" si="89"/>
        <v>5</v>
      </c>
      <c r="AZ89" s="34">
        <f t="shared" si="89"/>
        <v>5</v>
      </c>
      <c r="BA89" s="34">
        <f t="shared" si="89"/>
        <v>6</v>
      </c>
      <c r="BB89" s="34">
        <f t="shared" si="89"/>
        <v>6</v>
      </c>
      <c r="BC89" s="34">
        <f t="shared" si="89"/>
        <v>5</v>
      </c>
      <c r="BD89" s="34" t="s">
        <v>113</v>
      </c>
      <c r="BE89" s="4"/>
      <c r="BF89" s="32"/>
      <c r="BG89" s="32"/>
      <c r="BH89" s="32"/>
      <c r="BI89" s="32"/>
      <c r="BJ89" s="32"/>
      <c r="BK89" s="32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1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</row>
    <row r="90" spans="1:156" s="3" customFormat="1" ht="30" customHeight="1">
      <c r="A90" s="102" t="s">
        <v>196</v>
      </c>
      <c r="B90" s="103"/>
      <c r="C90" s="23" t="s">
        <v>114</v>
      </c>
      <c r="D90" s="23">
        <f>COUNTIF(D63:D76,"D*")</f>
        <v>4</v>
      </c>
      <c r="E90" s="23">
        <f t="shared" ref="E90:AJ90" si="90">COUNTIF(E64:E76,"D*")</f>
        <v>3</v>
      </c>
      <c r="F90" s="23">
        <f t="shared" si="90"/>
        <v>3</v>
      </c>
      <c r="G90" s="23">
        <f t="shared" si="90"/>
        <v>3</v>
      </c>
      <c r="H90" s="23">
        <f t="shared" si="90"/>
        <v>3</v>
      </c>
      <c r="I90" s="23">
        <f t="shared" si="90"/>
        <v>2</v>
      </c>
      <c r="J90" s="23">
        <f t="shared" si="90"/>
        <v>2</v>
      </c>
      <c r="K90" s="23">
        <f t="shared" si="90"/>
        <v>3</v>
      </c>
      <c r="L90" s="23">
        <f t="shared" si="90"/>
        <v>3</v>
      </c>
      <c r="M90" s="23">
        <f t="shared" si="90"/>
        <v>2</v>
      </c>
      <c r="N90" s="23">
        <f t="shared" si="90"/>
        <v>2</v>
      </c>
      <c r="O90" s="23">
        <f t="shared" si="90"/>
        <v>4</v>
      </c>
      <c r="P90" s="23">
        <f t="shared" si="90"/>
        <v>4</v>
      </c>
      <c r="Q90" s="23">
        <f t="shared" si="90"/>
        <v>3</v>
      </c>
      <c r="R90" s="23">
        <f t="shared" si="90"/>
        <v>4</v>
      </c>
      <c r="S90" s="23">
        <f t="shared" si="90"/>
        <v>3</v>
      </c>
      <c r="T90" s="23">
        <f t="shared" si="90"/>
        <v>2</v>
      </c>
      <c r="U90" s="23">
        <f t="shared" si="90"/>
        <v>2</v>
      </c>
      <c r="V90" s="23">
        <f t="shared" si="90"/>
        <v>3</v>
      </c>
      <c r="W90" s="23">
        <f t="shared" si="90"/>
        <v>3</v>
      </c>
      <c r="X90" s="23">
        <f t="shared" si="90"/>
        <v>3</v>
      </c>
      <c r="Y90" s="43">
        <f t="shared" si="90"/>
        <v>3</v>
      </c>
      <c r="Z90" s="45">
        <f t="shared" si="90"/>
        <v>4</v>
      </c>
      <c r="AA90" s="23">
        <f t="shared" si="90"/>
        <v>2</v>
      </c>
      <c r="AB90" s="23">
        <f t="shared" si="90"/>
        <v>3</v>
      </c>
      <c r="AC90" s="23">
        <f t="shared" si="90"/>
        <v>3</v>
      </c>
      <c r="AD90" s="23">
        <f t="shared" si="90"/>
        <v>3</v>
      </c>
      <c r="AE90" s="23">
        <f t="shared" si="90"/>
        <v>4</v>
      </c>
      <c r="AF90" s="23">
        <f t="shared" si="90"/>
        <v>4</v>
      </c>
      <c r="AG90" s="23">
        <f t="shared" si="90"/>
        <v>4</v>
      </c>
      <c r="AH90" s="23">
        <f t="shared" si="90"/>
        <v>3</v>
      </c>
      <c r="AI90" s="23">
        <f t="shared" si="90"/>
        <v>2</v>
      </c>
      <c r="AJ90" s="23">
        <f t="shared" si="90"/>
        <v>3</v>
      </c>
      <c r="AK90" s="23">
        <f t="shared" ref="AK90:BC90" si="91">COUNTIF(AK64:AK76,"D*")</f>
        <v>3</v>
      </c>
      <c r="AL90" s="23">
        <f t="shared" si="91"/>
        <v>3</v>
      </c>
      <c r="AM90" s="23">
        <f t="shared" si="91"/>
        <v>3</v>
      </c>
      <c r="AN90" s="23">
        <f t="shared" si="91"/>
        <v>3</v>
      </c>
      <c r="AO90" s="23">
        <f t="shared" si="91"/>
        <v>4</v>
      </c>
      <c r="AP90" s="23">
        <f t="shared" si="91"/>
        <v>4</v>
      </c>
      <c r="AQ90" s="23">
        <f t="shared" si="91"/>
        <v>4</v>
      </c>
      <c r="AR90" s="23">
        <f t="shared" si="91"/>
        <v>4</v>
      </c>
      <c r="AS90" s="23">
        <f t="shared" si="91"/>
        <v>4</v>
      </c>
      <c r="AT90" s="23">
        <f t="shared" si="91"/>
        <v>4</v>
      </c>
      <c r="AU90" s="23">
        <f t="shared" si="91"/>
        <v>4</v>
      </c>
      <c r="AV90" s="23">
        <f t="shared" si="91"/>
        <v>4</v>
      </c>
      <c r="AW90" s="23">
        <f t="shared" si="91"/>
        <v>4</v>
      </c>
      <c r="AX90" s="23">
        <f t="shared" si="91"/>
        <v>4</v>
      </c>
      <c r="AY90" s="23">
        <f t="shared" si="91"/>
        <v>4</v>
      </c>
      <c r="AZ90" s="23">
        <f t="shared" si="91"/>
        <v>4</v>
      </c>
      <c r="BA90" s="23">
        <f t="shared" si="91"/>
        <v>4</v>
      </c>
      <c r="BB90" s="23">
        <f t="shared" si="91"/>
        <v>5</v>
      </c>
      <c r="BC90" s="23">
        <f t="shared" si="91"/>
        <v>4</v>
      </c>
      <c r="BD90" s="34" t="s">
        <v>114</v>
      </c>
      <c r="BE90" s="4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3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</row>
    <row r="91" spans="1:156" s="3" customFormat="1" ht="30" customHeight="1">
      <c r="A91" s="102"/>
      <c r="B91" s="103"/>
      <c r="C91" s="23" t="s">
        <v>115</v>
      </c>
      <c r="D91" s="23">
        <f>COUNTIF(D63:D76,"E*")</f>
        <v>2</v>
      </c>
      <c r="E91" s="23">
        <f t="shared" ref="E91:AJ91" si="92">COUNTIF(E64:E76,"E*")</f>
        <v>3</v>
      </c>
      <c r="F91" s="23">
        <f t="shared" si="92"/>
        <v>4</v>
      </c>
      <c r="G91" s="23">
        <f t="shared" si="92"/>
        <v>4</v>
      </c>
      <c r="H91" s="23">
        <f t="shared" si="92"/>
        <v>3</v>
      </c>
      <c r="I91" s="23">
        <f t="shared" si="92"/>
        <v>4</v>
      </c>
      <c r="J91" s="23">
        <f t="shared" si="92"/>
        <v>3</v>
      </c>
      <c r="K91" s="23">
        <f t="shared" si="92"/>
        <v>3</v>
      </c>
      <c r="L91" s="23">
        <f t="shared" si="92"/>
        <v>3</v>
      </c>
      <c r="M91" s="23">
        <f t="shared" si="92"/>
        <v>3</v>
      </c>
      <c r="N91" s="23">
        <f t="shared" si="92"/>
        <v>4</v>
      </c>
      <c r="O91" s="23">
        <f t="shared" si="92"/>
        <v>4</v>
      </c>
      <c r="P91" s="23">
        <f t="shared" si="92"/>
        <v>2</v>
      </c>
      <c r="Q91" s="23">
        <f t="shared" si="92"/>
        <v>4</v>
      </c>
      <c r="R91" s="23">
        <f t="shared" si="92"/>
        <v>2</v>
      </c>
      <c r="S91" s="23">
        <f t="shared" si="92"/>
        <v>4</v>
      </c>
      <c r="T91" s="23">
        <f t="shared" si="92"/>
        <v>4</v>
      </c>
      <c r="U91" s="23">
        <f t="shared" si="92"/>
        <v>4</v>
      </c>
      <c r="V91" s="23">
        <f t="shared" si="92"/>
        <v>3</v>
      </c>
      <c r="W91" s="23">
        <f t="shared" si="92"/>
        <v>3</v>
      </c>
      <c r="X91" s="23">
        <f t="shared" si="92"/>
        <v>4</v>
      </c>
      <c r="Y91" s="43">
        <f t="shared" si="92"/>
        <v>3</v>
      </c>
      <c r="Z91" s="45">
        <f t="shared" si="92"/>
        <v>1</v>
      </c>
      <c r="AA91" s="23">
        <f t="shared" si="92"/>
        <v>2</v>
      </c>
      <c r="AB91" s="23">
        <f t="shared" si="92"/>
        <v>4</v>
      </c>
      <c r="AC91" s="23">
        <f t="shared" si="92"/>
        <v>3</v>
      </c>
      <c r="AD91" s="23">
        <f t="shared" si="92"/>
        <v>3</v>
      </c>
      <c r="AE91" s="23">
        <f t="shared" si="92"/>
        <v>3</v>
      </c>
      <c r="AF91" s="23">
        <f t="shared" si="92"/>
        <v>3</v>
      </c>
      <c r="AG91" s="23">
        <f t="shared" si="92"/>
        <v>3</v>
      </c>
      <c r="AH91" s="23">
        <f t="shared" si="92"/>
        <v>4</v>
      </c>
      <c r="AI91" s="23">
        <f t="shared" si="92"/>
        <v>3</v>
      </c>
      <c r="AJ91" s="23">
        <f t="shared" si="92"/>
        <v>4</v>
      </c>
      <c r="AK91" s="23">
        <f t="shared" ref="AK91:BC91" si="93">COUNTIF(AK64:AK76,"E*")</f>
        <v>4</v>
      </c>
      <c r="AL91" s="23">
        <f t="shared" si="93"/>
        <v>4</v>
      </c>
      <c r="AM91" s="23">
        <f t="shared" si="93"/>
        <v>4</v>
      </c>
      <c r="AN91" s="23">
        <f t="shared" si="93"/>
        <v>4</v>
      </c>
      <c r="AO91" s="23">
        <f t="shared" si="93"/>
        <v>4</v>
      </c>
      <c r="AP91" s="23">
        <f t="shared" si="93"/>
        <v>1</v>
      </c>
      <c r="AQ91" s="23">
        <f t="shared" si="93"/>
        <v>2</v>
      </c>
      <c r="AR91" s="23">
        <f t="shared" si="93"/>
        <v>2</v>
      </c>
      <c r="AS91" s="23">
        <f t="shared" si="93"/>
        <v>2</v>
      </c>
      <c r="AT91" s="23">
        <f t="shared" si="93"/>
        <v>1</v>
      </c>
      <c r="AU91" s="23">
        <f t="shared" si="93"/>
        <v>2</v>
      </c>
      <c r="AV91" s="23">
        <f t="shared" si="93"/>
        <v>1</v>
      </c>
      <c r="AW91" s="23">
        <f t="shared" si="93"/>
        <v>2</v>
      </c>
      <c r="AX91" s="23">
        <f t="shared" si="93"/>
        <v>3</v>
      </c>
      <c r="AY91" s="23">
        <f t="shared" si="93"/>
        <v>2</v>
      </c>
      <c r="AZ91" s="23">
        <f t="shared" si="93"/>
        <v>2</v>
      </c>
      <c r="BA91" s="23">
        <f t="shared" si="93"/>
        <v>2</v>
      </c>
      <c r="BB91" s="23">
        <f t="shared" si="93"/>
        <v>3</v>
      </c>
      <c r="BC91" s="23">
        <f t="shared" si="93"/>
        <v>3</v>
      </c>
      <c r="BD91" s="34" t="s">
        <v>115</v>
      </c>
      <c r="BE91" s="4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3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</row>
    <row r="92" spans="1:156" s="3" customFormat="1" ht="30" customHeight="1">
      <c r="A92" s="102"/>
      <c r="B92" s="103"/>
      <c r="C92" s="23" t="s">
        <v>116</v>
      </c>
      <c r="D92" s="23">
        <f>COUNTIF(D63:D76,"N*")</f>
        <v>2</v>
      </c>
      <c r="E92" s="23">
        <f t="shared" ref="E92:AJ92" si="94">COUNTIF(E64:E76,"N*")</f>
        <v>3</v>
      </c>
      <c r="F92" s="23">
        <f t="shared" si="94"/>
        <v>3</v>
      </c>
      <c r="G92" s="23">
        <f t="shared" si="94"/>
        <v>3</v>
      </c>
      <c r="H92" s="23">
        <f t="shared" si="94"/>
        <v>3</v>
      </c>
      <c r="I92" s="23">
        <f t="shared" si="94"/>
        <v>1</v>
      </c>
      <c r="J92" s="23">
        <f t="shared" si="94"/>
        <v>2</v>
      </c>
      <c r="K92" s="23">
        <f t="shared" si="94"/>
        <v>3</v>
      </c>
      <c r="L92" s="23">
        <f t="shared" si="94"/>
        <v>2</v>
      </c>
      <c r="M92" s="23">
        <f t="shared" si="94"/>
        <v>2</v>
      </c>
      <c r="N92" s="23">
        <f t="shared" si="94"/>
        <v>2</v>
      </c>
      <c r="O92" s="23">
        <f t="shared" si="94"/>
        <v>3</v>
      </c>
      <c r="P92" s="23">
        <f t="shared" si="94"/>
        <v>3</v>
      </c>
      <c r="Q92" s="23">
        <f t="shared" si="94"/>
        <v>3</v>
      </c>
      <c r="R92" s="23">
        <f t="shared" si="94"/>
        <v>3</v>
      </c>
      <c r="S92" s="23">
        <f t="shared" si="94"/>
        <v>3</v>
      </c>
      <c r="T92" s="23">
        <f t="shared" si="94"/>
        <v>2</v>
      </c>
      <c r="U92" s="23">
        <f t="shared" si="94"/>
        <v>2</v>
      </c>
      <c r="V92" s="23">
        <f t="shared" si="94"/>
        <v>3</v>
      </c>
      <c r="W92" s="23">
        <f t="shared" si="94"/>
        <v>2</v>
      </c>
      <c r="X92" s="23">
        <f t="shared" si="94"/>
        <v>2</v>
      </c>
      <c r="Y92" s="43">
        <f t="shared" si="94"/>
        <v>3</v>
      </c>
      <c r="Z92" s="45">
        <f t="shared" si="94"/>
        <v>1</v>
      </c>
      <c r="AA92" s="23">
        <f t="shared" si="94"/>
        <v>1</v>
      </c>
      <c r="AB92" s="23">
        <f t="shared" si="94"/>
        <v>1</v>
      </c>
      <c r="AC92" s="23">
        <f t="shared" si="94"/>
        <v>2</v>
      </c>
      <c r="AD92" s="23">
        <f t="shared" si="94"/>
        <v>1</v>
      </c>
      <c r="AE92" s="23">
        <f t="shared" si="94"/>
        <v>2</v>
      </c>
      <c r="AF92" s="23">
        <f t="shared" si="94"/>
        <v>2</v>
      </c>
      <c r="AG92" s="23">
        <f t="shared" si="94"/>
        <v>2</v>
      </c>
      <c r="AH92" s="23">
        <f t="shared" si="94"/>
        <v>1</v>
      </c>
      <c r="AI92" s="23">
        <f t="shared" si="94"/>
        <v>1</v>
      </c>
      <c r="AJ92" s="23">
        <f t="shared" si="94"/>
        <v>3</v>
      </c>
      <c r="AK92" s="23">
        <f t="shared" ref="AK92:BC92" si="95">COUNTIF(AK64:AK76,"N*")</f>
        <v>3</v>
      </c>
      <c r="AL92" s="23">
        <f t="shared" si="95"/>
        <v>2</v>
      </c>
      <c r="AM92" s="23">
        <f t="shared" si="95"/>
        <v>3</v>
      </c>
      <c r="AN92" s="23">
        <f t="shared" si="95"/>
        <v>2</v>
      </c>
      <c r="AO92" s="23">
        <f t="shared" si="95"/>
        <v>2</v>
      </c>
      <c r="AP92" s="23">
        <f t="shared" si="95"/>
        <v>3</v>
      </c>
      <c r="AQ92" s="23">
        <f t="shared" si="95"/>
        <v>3</v>
      </c>
      <c r="AR92" s="23">
        <f t="shared" si="95"/>
        <v>1</v>
      </c>
      <c r="AS92" s="23">
        <f t="shared" si="95"/>
        <v>3</v>
      </c>
      <c r="AT92" s="23">
        <f t="shared" si="95"/>
        <v>3</v>
      </c>
      <c r="AU92" s="23">
        <f t="shared" si="95"/>
        <v>3</v>
      </c>
      <c r="AV92" s="23">
        <f t="shared" si="95"/>
        <v>3</v>
      </c>
      <c r="AW92" s="23">
        <f t="shared" si="95"/>
        <v>2</v>
      </c>
      <c r="AX92" s="23">
        <f t="shared" si="95"/>
        <v>2</v>
      </c>
      <c r="AY92" s="23">
        <f t="shared" si="95"/>
        <v>2</v>
      </c>
      <c r="AZ92" s="23">
        <f t="shared" si="95"/>
        <v>2</v>
      </c>
      <c r="BA92" s="23">
        <f t="shared" si="95"/>
        <v>2</v>
      </c>
      <c r="BB92" s="23">
        <f t="shared" si="95"/>
        <v>3</v>
      </c>
      <c r="BC92" s="23">
        <f t="shared" si="95"/>
        <v>2</v>
      </c>
      <c r="BD92" s="34" t="s">
        <v>116</v>
      </c>
      <c r="BE92" s="4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3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</row>
    <row r="93" spans="1:156" s="3" customFormat="1" ht="27" customHeight="1">
      <c r="A93" s="1"/>
      <c r="B93" s="1"/>
      <c r="C93" s="27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42"/>
      <c r="Z93" s="44"/>
      <c r="AA93" s="22"/>
      <c r="AB93" s="22"/>
      <c r="AC93" s="22"/>
      <c r="AD93" s="22"/>
      <c r="AE93" s="34"/>
      <c r="AF93" s="34"/>
      <c r="AG93" s="22"/>
      <c r="AH93" s="22"/>
      <c r="AI93" s="22"/>
      <c r="AJ93" s="22"/>
      <c r="AK93" s="22"/>
      <c r="AL93" s="34"/>
      <c r="AM93" s="34"/>
      <c r="AN93" s="22"/>
      <c r="AO93" s="22"/>
      <c r="AP93" s="22"/>
      <c r="AQ93" s="22"/>
      <c r="AR93" s="34"/>
      <c r="AS93" s="34"/>
      <c r="AT93" s="34"/>
      <c r="AU93" s="22"/>
      <c r="AV93" s="22"/>
      <c r="AW93" s="22"/>
      <c r="AX93" s="22"/>
      <c r="AY93" s="22"/>
      <c r="AZ93" s="34"/>
      <c r="BA93" s="34"/>
      <c r="BB93" s="22"/>
      <c r="BC93" s="22"/>
      <c r="BD93" s="22"/>
      <c r="BE93" s="4"/>
      <c r="BF93" s="32"/>
      <c r="BG93" s="32"/>
      <c r="BH93" s="32"/>
      <c r="BI93" s="4"/>
      <c r="BJ93" s="4"/>
      <c r="BK93" s="4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3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</row>
    <row r="94" spans="1:156" s="3" customFormat="1" ht="27" customHeight="1">
      <c r="A94" s="1"/>
      <c r="B94" s="1"/>
      <c r="C94" s="27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42"/>
      <c r="Z94" s="44"/>
      <c r="AA94" s="22"/>
      <c r="AB94" s="22"/>
      <c r="AC94" s="22"/>
      <c r="AD94" s="22"/>
      <c r="AE94" s="34"/>
      <c r="AF94" s="34"/>
      <c r="AG94" s="22"/>
      <c r="AH94" s="22"/>
      <c r="AI94" s="22"/>
      <c r="AJ94" s="22"/>
      <c r="AK94" s="22"/>
      <c r="AL94" s="34"/>
      <c r="AM94" s="34"/>
      <c r="AN94" s="22"/>
      <c r="AO94" s="22"/>
      <c r="AP94" s="22"/>
      <c r="AQ94" s="22"/>
      <c r="AR94" s="34"/>
      <c r="AS94" s="34"/>
      <c r="AT94" s="34"/>
      <c r="AU94" s="22"/>
      <c r="AV94" s="22"/>
      <c r="AW94" s="22"/>
      <c r="AX94" s="22"/>
      <c r="AY94" s="22"/>
      <c r="AZ94" s="34"/>
      <c r="BA94" s="34"/>
      <c r="BB94" s="22"/>
      <c r="BC94" s="22"/>
      <c r="BD94" s="22"/>
      <c r="BE94" s="4"/>
      <c r="BF94" s="4"/>
      <c r="BG94" s="4"/>
      <c r="BH94" s="4"/>
      <c r="BI94" s="1"/>
      <c r="BJ94" s="1"/>
      <c r="BK94" s="1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1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</row>
    <row r="95" spans="1:156" s="3" customFormat="1" ht="30" customHeight="1">
      <c r="A95" s="99" t="s">
        <v>201</v>
      </c>
      <c r="B95" s="100"/>
      <c r="C95" s="97" t="s">
        <v>117</v>
      </c>
      <c r="D95" s="94">
        <f>D78-D81</f>
        <v>4</v>
      </c>
      <c r="E95" s="94">
        <f t="shared" ref="E95:T97" si="96">E78-E81</f>
        <v>3</v>
      </c>
      <c r="F95" s="94">
        <f t="shared" si="96"/>
        <v>4</v>
      </c>
      <c r="G95" s="94">
        <f t="shared" si="96"/>
        <v>3</v>
      </c>
      <c r="H95" s="94">
        <f t="shared" si="96"/>
        <v>4</v>
      </c>
      <c r="I95" s="94">
        <f t="shared" si="96"/>
        <v>3</v>
      </c>
      <c r="J95" s="94">
        <f t="shared" si="96"/>
        <v>5</v>
      </c>
      <c r="K95" s="94">
        <f t="shared" si="96"/>
        <v>4</v>
      </c>
      <c r="L95" s="94">
        <f t="shared" si="96"/>
        <v>2</v>
      </c>
      <c r="M95" s="94">
        <f t="shared" si="96"/>
        <v>5</v>
      </c>
      <c r="N95" s="94">
        <f t="shared" si="96"/>
        <v>5</v>
      </c>
      <c r="O95" s="94">
        <f t="shared" si="96"/>
        <v>4</v>
      </c>
      <c r="P95" s="94">
        <f t="shared" si="96"/>
        <v>3</v>
      </c>
      <c r="Q95" s="94">
        <f t="shared" si="96"/>
        <v>3</v>
      </c>
      <c r="R95" s="94">
        <f t="shared" si="96"/>
        <v>3</v>
      </c>
      <c r="S95" s="94">
        <f t="shared" si="96"/>
        <v>4</v>
      </c>
      <c r="T95" s="94">
        <f t="shared" si="96"/>
        <v>4</v>
      </c>
      <c r="U95" s="94">
        <f t="shared" ref="U95:Y97" si="97">U79-U82</f>
        <v>4</v>
      </c>
      <c r="V95" s="94">
        <f t="shared" si="97"/>
        <v>3</v>
      </c>
      <c r="W95" s="94">
        <f t="shared" si="97"/>
        <v>3</v>
      </c>
      <c r="X95" s="94">
        <f t="shared" si="97"/>
        <v>2</v>
      </c>
      <c r="Y95" s="95">
        <f t="shared" si="97"/>
        <v>2</v>
      </c>
      <c r="Z95" s="96">
        <f>Z78-Z81</f>
        <v>5</v>
      </c>
      <c r="AA95" s="94">
        <f t="shared" ref="AA95:BC97" si="98">AA78-AA81</f>
        <v>5</v>
      </c>
      <c r="AB95" s="94">
        <f t="shared" si="98"/>
        <v>5</v>
      </c>
      <c r="AC95" s="94">
        <f t="shared" si="98"/>
        <v>4</v>
      </c>
      <c r="AD95" s="94">
        <f t="shared" si="98"/>
        <v>5</v>
      </c>
      <c r="AE95" s="94">
        <f t="shared" si="98"/>
        <v>3</v>
      </c>
      <c r="AF95" s="94">
        <f t="shared" si="98"/>
        <v>4</v>
      </c>
      <c r="AG95" s="94">
        <f t="shared" si="98"/>
        <v>4</v>
      </c>
      <c r="AH95" s="94">
        <f t="shared" si="98"/>
        <v>6</v>
      </c>
      <c r="AI95" s="94">
        <f t="shared" si="98"/>
        <v>5</v>
      </c>
      <c r="AJ95" s="94">
        <f t="shared" si="98"/>
        <v>4</v>
      </c>
      <c r="AK95" s="94">
        <f t="shared" si="98"/>
        <v>4</v>
      </c>
      <c r="AL95" s="94">
        <f t="shared" si="98"/>
        <v>3</v>
      </c>
      <c r="AM95" s="94">
        <f t="shared" si="98"/>
        <v>5</v>
      </c>
      <c r="AN95" s="94">
        <f t="shared" si="98"/>
        <v>7</v>
      </c>
      <c r="AO95" s="94">
        <f t="shared" si="98"/>
        <v>4</v>
      </c>
      <c r="AP95" s="94">
        <f t="shared" si="98"/>
        <v>3</v>
      </c>
      <c r="AQ95" s="94">
        <f t="shared" si="98"/>
        <v>3</v>
      </c>
      <c r="AR95" s="94">
        <f t="shared" si="98"/>
        <v>4</v>
      </c>
      <c r="AS95" s="94">
        <f t="shared" si="98"/>
        <v>4</v>
      </c>
      <c r="AT95" s="94">
        <f t="shared" si="98"/>
        <v>4</v>
      </c>
      <c r="AU95" s="94">
        <f t="shared" si="98"/>
        <v>5</v>
      </c>
      <c r="AV95" s="94">
        <f t="shared" si="98"/>
        <v>6</v>
      </c>
      <c r="AW95" s="94">
        <f t="shared" si="98"/>
        <v>4</v>
      </c>
      <c r="AX95" s="94">
        <f t="shared" si="98"/>
        <v>4</v>
      </c>
      <c r="AY95" s="94">
        <f t="shared" si="98"/>
        <v>6</v>
      </c>
      <c r="AZ95" s="94">
        <f t="shared" si="98"/>
        <v>6</v>
      </c>
      <c r="BA95" s="94">
        <f t="shared" si="98"/>
        <v>5</v>
      </c>
      <c r="BB95" s="94">
        <f t="shared" si="98"/>
        <v>4</v>
      </c>
      <c r="BC95" s="94">
        <f t="shared" si="98"/>
        <v>4</v>
      </c>
      <c r="BD95" s="22" t="s">
        <v>117</v>
      </c>
      <c r="BE95" s="4"/>
      <c r="BF95" s="4"/>
      <c r="BG95" s="4"/>
      <c r="BH95" s="4"/>
      <c r="BI95" s="1"/>
      <c r="BJ95" s="1"/>
      <c r="BK95" s="1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1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</row>
    <row r="96" spans="1:156" s="3" customFormat="1" ht="30" customHeight="1">
      <c r="A96" s="99" t="s">
        <v>201</v>
      </c>
      <c r="B96" s="100"/>
      <c r="C96" s="97" t="s">
        <v>118</v>
      </c>
      <c r="D96" s="94">
        <f>D79-D82</f>
        <v>3</v>
      </c>
      <c r="E96" s="94">
        <f t="shared" si="96"/>
        <v>3</v>
      </c>
      <c r="F96" s="94">
        <f t="shared" si="96"/>
        <v>3</v>
      </c>
      <c r="G96" s="94">
        <f t="shared" si="96"/>
        <v>3</v>
      </c>
      <c r="H96" s="94">
        <f t="shared" si="96"/>
        <v>2</v>
      </c>
      <c r="I96" s="94">
        <f t="shared" si="96"/>
        <v>2</v>
      </c>
      <c r="J96" s="94">
        <f t="shared" si="96"/>
        <v>3</v>
      </c>
      <c r="K96" s="94">
        <f t="shared" si="96"/>
        <v>2</v>
      </c>
      <c r="L96" s="94">
        <f t="shared" si="96"/>
        <v>3</v>
      </c>
      <c r="M96" s="94">
        <f t="shared" si="96"/>
        <v>1</v>
      </c>
      <c r="N96" s="94">
        <f t="shared" si="96"/>
        <v>2</v>
      </c>
      <c r="O96" s="94">
        <f t="shared" si="96"/>
        <v>2</v>
      </c>
      <c r="P96" s="94">
        <f t="shared" si="96"/>
        <v>2</v>
      </c>
      <c r="Q96" s="94">
        <f t="shared" si="96"/>
        <v>2</v>
      </c>
      <c r="R96" s="94">
        <f t="shared" si="96"/>
        <v>3</v>
      </c>
      <c r="S96" s="94">
        <f t="shared" si="96"/>
        <v>3</v>
      </c>
      <c r="T96" s="94">
        <f t="shared" si="96"/>
        <v>2</v>
      </c>
      <c r="U96" s="94">
        <f t="shared" si="97"/>
        <v>2</v>
      </c>
      <c r="V96" s="94">
        <f t="shared" si="97"/>
        <v>2</v>
      </c>
      <c r="W96" s="94">
        <f t="shared" si="97"/>
        <v>3</v>
      </c>
      <c r="X96" s="94">
        <f t="shared" si="97"/>
        <v>3</v>
      </c>
      <c r="Y96" s="95">
        <f t="shared" si="97"/>
        <v>3</v>
      </c>
      <c r="Z96" s="96">
        <f>Z79-Z82</f>
        <v>2</v>
      </c>
      <c r="AA96" s="94">
        <f t="shared" si="98"/>
        <v>3</v>
      </c>
      <c r="AB96" s="94">
        <f t="shared" si="98"/>
        <v>3</v>
      </c>
      <c r="AC96" s="94">
        <f t="shared" si="98"/>
        <v>2</v>
      </c>
      <c r="AD96" s="94">
        <f t="shared" si="98"/>
        <v>3</v>
      </c>
      <c r="AE96" s="94">
        <f t="shared" si="98"/>
        <v>3</v>
      </c>
      <c r="AF96" s="94">
        <f t="shared" si="98"/>
        <v>4</v>
      </c>
      <c r="AG96" s="94">
        <f t="shared" si="98"/>
        <v>2</v>
      </c>
      <c r="AH96" s="94">
        <f t="shared" si="98"/>
        <v>3</v>
      </c>
      <c r="AI96" s="94">
        <f t="shared" si="98"/>
        <v>2</v>
      </c>
      <c r="AJ96" s="94">
        <f t="shared" si="98"/>
        <v>2</v>
      </c>
      <c r="AK96" s="94">
        <f t="shared" si="98"/>
        <v>3</v>
      </c>
      <c r="AL96" s="94">
        <f t="shared" si="98"/>
        <v>2</v>
      </c>
      <c r="AM96" s="94">
        <f t="shared" si="98"/>
        <v>2</v>
      </c>
      <c r="AN96" s="94">
        <f t="shared" si="98"/>
        <v>2</v>
      </c>
      <c r="AO96" s="94">
        <f t="shared" si="98"/>
        <v>3</v>
      </c>
      <c r="AP96" s="94">
        <f t="shared" si="98"/>
        <v>4</v>
      </c>
      <c r="AQ96" s="94">
        <f t="shared" si="98"/>
        <v>4</v>
      </c>
      <c r="AR96" s="94">
        <f t="shared" si="98"/>
        <v>3</v>
      </c>
      <c r="AS96" s="94">
        <f t="shared" si="98"/>
        <v>2</v>
      </c>
      <c r="AT96" s="94">
        <f t="shared" si="98"/>
        <v>3</v>
      </c>
      <c r="AU96" s="94">
        <f t="shared" si="98"/>
        <v>4</v>
      </c>
      <c r="AV96" s="94">
        <f t="shared" si="98"/>
        <v>4</v>
      </c>
      <c r="AW96" s="94">
        <f t="shared" si="98"/>
        <v>2</v>
      </c>
      <c r="AX96" s="94">
        <f t="shared" si="98"/>
        <v>1</v>
      </c>
      <c r="AY96" s="94">
        <f t="shared" si="98"/>
        <v>4</v>
      </c>
      <c r="AZ96" s="94">
        <f t="shared" si="98"/>
        <v>4</v>
      </c>
      <c r="BA96" s="94">
        <f t="shared" si="98"/>
        <v>3</v>
      </c>
      <c r="BB96" s="94">
        <f t="shared" si="98"/>
        <v>2</v>
      </c>
      <c r="BC96" s="94">
        <f t="shared" si="98"/>
        <v>1</v>
      </c>
      <c r="BD96" s="22" t="s">
        <v>118</v>
      </c>
      <c r="BE96" s="4"/>
      <c r="BF96" s="4"/>
      <c r="BG96" s="4"/>
      <c r="BH96" s="4"/>
      <c r="BI96" s="1"/>
      <c r="BJ96" s="1"/>
      <c r="BK96" s="1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1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</row>
    <row r="97" spans="1:156" s="3" customFormat="1" ht="30" customHeight="1">
      <c r="A97" s="99" t="s">
        <v>201</v>
      </c>
      <c r="B97" s="100"/>
      <c r="C97" s="97" t="s">
        <v>119</v>
      </c>
      <c r="D97" s="94">
        <f>D80-D83</f>
        <v>2</v>
      </c>
      <c r="E97" s="94">
        <f t="shared" si="96"/>
        <v>3</v>
      </c>
      <c r="F97" s="94">
        <f t="shared" si="96"/>
        <v>2</v>
      </c>
      <c r="G97" s="94">
        <f t="shared" si="96"/>
        <v>3</v>
      </c>
      <c r="H97" s="94">
        <f t="shared" si="96"/>
        <v>2</v>
      </c>
      <c r="I97" s="94">
        <f t="shared" si="96"/>
        <v>2</v>
      </c>
      <c r="J97" s="94">
        <f t="shared" si="96"/>
        <v>2</v>
      </c>
      <c r="K97" s="94">
        <f t="shared" si="96"/>
        <v>2</v>
      </c>
      <c r="L97" s="94">
        <f t="shared" si="96"/>
        <v>2</v>
      </c>
      <c r="M97" s="94">
        <f t="shared" si="96"/>
        <v>4</v>
      </c>
      <c r="N97" s="94">
        <f t="shared" si="96"/>
        <v>3</v>
      </c>
      <c r="O97" s="94">
        <f t="shared" si="96"/>
        <v>5</v>
      </c>
      <c r="P97" s="94">
        <f t="shared" si="96"/>
        <v>4</v>
      </c>
      <c r="Q97" s="94">
        <f t="shared" si="96"/>
        <v>2</v>
      </c>
      <c r="R97" s="94">
        <f t="shared" si="96"/>
        <v>3</v>
      </c>
      <c r="S97" s="94">
        <f t="shared" si="96"/>
        <v>4</v>
      </c>
      <c r="T97" s="94">
        <f t="shared" si="96"/>
        <v>4</v>
      </c>
      <c r="U97" s="94">
        <f t="shared" si="97"/>
        <v>4</v>
      </c>
      <c r="V97" s="94">
        <f t="shared" si="97"/>
        <v>4</v>
      </c>
      <c r="W97" s="94">
        <f t="shared" si="97"/>
        <v>5</v>
      </c>
      <c r="X97" s="94">
        <f t="shared" si="97"/>
        <v>3</v>
      </c>
      <c r="Y97" s="95">
        <f t="shared" si="97"/>
        <v>3</v>
      </c>
      <c r="Z97" s="96">
        <f>Z80-Z83</f>
        <v>4</v>
      </c>
      <c r="AA97" s="94">
        <f t="shared" si="98"/>
        <v>4</v>
      </c>
      <c r="AB97" s="94">
        <f t="shared" si="98"/>
        <v>4</v>
      </c>
      <c r="AC97" s="94">
        <f t="shared" si="98"/>
        <v>3</v>
      </c>
      <c r="AD97" s="94">
        <f t="shared" si="98"/>
        <v>3</v>
      </c>
      <c r="AE97" s="94">
        <f t="shared" si="98"/>
        <v>2</v>
      </c>
      <c r="AF97" s="94">
        <f t="shared" si="98"/>
        <v>3</v>
      </c>
      <c r="AG97" s="94">
        <f t="shared" si="98"/>
        <v>4</v>
      </c>
      <c r="AH97" s="94">
        <f t="shared" si="98"/>
        <v>4</v>
      </c>
      <c r="AI97" s="94">
        <f t="shared" si="98"/>
        <v>2</v>
      </c>
      <c r="AJ97" s="94">
        <f t="shared" si="98"/>
        <v>2</v>
      </c>
      <c r="AK97" s="94">
        <f t="shared" si="98"/>
        <v>3</v>
      </c>
      <c r="AL97" s="94">
        <f t="shared" si="98"/>
        <v>3</v>
      </c>
      <c r="AM97" s="94">
        <f t="shared" si="98"/>
        <v>2</v>
      </c>
      <c r="AN97" s="94">
        <f t="shared" si="98"/>
        <v>3</v>
      </c>
      <c r="AO97" s="94">
        <f t="shared" si="98"/>
        <v>3</v>
      </c>
      <c r="AP97" s="94">
        <f t="shared" si="98"/>
        <v>3</v>
      </c>
      <c r="AQ97" s="94">
        <f t="shared" si="98"/>
        <v>2</v>
      </c>
      <c r="AR97" s="94">
        <f t="shared" si="98"/>
        <v>2</v>
      </c>
      <c r="AS97" s="94">
        <f t="shared" si="98"/>
        <v>3</v>
      </c>
      <c r="AT97" s="94">
        <f t="shared" si="98"/>
        <v>2</v>
      </c>
      <c r="AU97" s="94">
        <f t="shared" si="98"/>
        <v>3</v>
      </c>
      <c r="AV97" s="94">
        <f t="shared" si="98"/>
        <v>3</v>
      </c>
      <c r="AW97" s="94">
        <f t="shared" si="98"/>
        <v>2</v>
      </c>
      <c r="AX97" s="94">
        <f t="shared" si="98"/>
        <v>2</v>
      </c>
      <c r="AY97" s="94">
        <f t="shared" si="98"/>
        <v>2</v>
      </c>
      <c r="AZ97" s="94">
        <f t="shared" si="98"/>
        <v>2</v>
      </c>
      <c r="BA97" s="94">
        <f t="shared" si="98"/>
        <v>3</v>
      </c>
      <c r="BB97" s="94">
        <f t="shared" si="98"/>
        <v>2</v>
      </c>
      <c r="BC97" s="94">
        <f t="shared" si="98"/>
        <v>3</v>
      </c>
      <c r="BD97" s="22" t="s">
        <v>119</v>
      </c>
      <c r="BE97" s="4"/>
      <c r="BF97" s="4"/>
      <c r="BG97" s="4"/>
      <c r="BH97" s="4"/>
      <c r="BI97" s="1"/>
      <c r="BJ97" s="1"/>
      <c r="BK97" s="1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1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</row>
    <row r="98" spans="1:156" s="3" customFormat="1" ht="27" customHeight="1">
      <c r="A98" s="1"/>
      <c r="B98" s="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7"/>
      <c r="V98" s="27"/>
      <c r="W98" s="27"/>
      <c r="X98" s="27"/>
      <c r="Y98" s="46"/>
      <c r="Z98" s="44"/>
      <c r="AA98" s="22"/>
      <c r="AB98" s="22"/>
      <c r="AC98" s="22"/>
      <c r="AD98" s="22"/>
      <c r="AE98" s="34"/>
      <c r="AF98" s="34"/>
      <c r="AG98" s="22"/>
      <c r="AH98" s="22"/>
      <c r="AI98" s="22"/>
      <c r="AJ98" s="22"/>
      <c r="AK98" s="22"/>
      <c r="AL98" s="34"/>
      <c r="AM98" s="34"/>
      <c r="AN98" s="22"/>
      <c r="AO98" s="22"/>
      <c r="AP98" s="22"/>
      <c r="AQ98" s="22"/>
      <c r="AR98" s="34"/>
      <c r="AS98" s="34"/>
      <c r="AT98" s="34"/>
      <c r="AU98" s="22"/>
      <c r="AV98" s="22"/>
      <c r="AW98" s="22"/>
      <c r="AX98" s="22"/>
      <c r="AY98" s="22"/>
      <c r="AZ98" s="34"/>
      <c r="BA98" s="34"/>
      <c r="BB98" s="22"/>
      <c r="BC98" s="22"/>
      <c r="BD98" s="22"/>
      <c r="BE98" s="4"/>
      <c r="BF98" s="4"/>
      <c r="BG98" s="4"/>
      <c r="BH98" s="4"/>
      <c r="BI98" s="1"/>
      <c r="BJ98" s="1"/>
      <c r="BK98" s="1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1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</row>
    <row r="99" spans="1:156" s="3" customFormat="1" ht="30" customHeight="1">
      <c r="A99" s="1"/>
      <c r="B99" s="1"/>
      <c r="C99" s="28" t="s">
        <v>120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2"/>
      <c r="V99" s="22"/>
      <c r="W99" s="22"/>
      <c r="X99" s="22"/>
      <c r="Y99" s="42"/>
      <c r="Z99" s="47"/>
      <c r="AA99" s="28"/>
      <c r="AB99" s="28"/>
      <c r="AC99" s="28"/>
      <c r="AD99" s="28"/>
      <c r="AE99" s="41"/>
      <c r="AF99" s="41"/>
      <c r="AG99" s="28"/>
      <c r="AH99" s="28"/>
      <c r="AI99" s="28"/>
      <c r="AJ99" s="28"/>
      <c r="AK99" s="28"/>
      <c r="AL99" s="41"/>
      <c r="AM99" s="41"/>
      <c r="AN99" s="28"/>
      <c r="AO99" s="28"/>
      <c r="AP99" s="28"/>
      <c r="AQ99" s="28"/>
      <c r="AR99" s="41"/>
      <c r="AS99" s="41"/>
      <c r="AT99" s="41"/>
      <c r="AU99" s="28"/>
      <c r="AV99" s="28"/>
      <c r="AW99" s="28"/>
      <c r="AX99" s="28"/>
      <c r="AY99" s="28"/>
      <c r="AZ99" s="41"/>
      <c r="BA99" s="41"/>
      <c r="BB99" s="28"/>
      <c r="BC99" s="28"/>
      <c r="BD99" s="28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</row>
    <row r="100" spans="1:156" s="3" customFormat="1" ht="30" customHeight="1">
      <c r="A100" s="1"/>
      <c r="B100" s="1"/>
      <c r="C100" s="22" t="s">
        <v>51</v>
      </c>
      <c r="D100" s="22">
        <f t="shared" ref="D100:AI100" si="99">COUNTIF(D6:D76,"D*")</f>
        <v>17</v>
      </c>
      <c r="E100" s="22">
        <f t="shared" si="99"/>
        <v>16</v>
      </c>
      <c r="F100" s="22">
        <f t="shared" si="99"/>
        <v>17</v>
      </c>
      <c r="G100" s="22">
        <f t="shared" si="99"/>
        <v>16</v>
      </c>
      <c r="H100" s="22">
        <f t="shared" si="99"/>
        <v>17</v>
      </c>
      <c r="I100" s="22">
        <f t="shared" si="99"/>
        <v>16</v>
      </c>
      <c r="J100" s="22">
        <f t="shared" si="99"/>
        <v>17</v>
      </c>
      <c r="K100" s="22">
        <f t="shared" si="99"/>
        <v>16</v>
      </c>
      <c r="L100" s="22">
        <f t="shared" si="99"/>
        <v>16</v>
      </c>
      <c r="M100" s="22">
        <f t="shared" si="99"/>
        <v>16</v>
      </c>
      <c r="N100" s="22">
        <f t="shared" si="99"/>
        <v>16</v>
      </c>
      <c r="O100" s="22">
        <f t="shared" si="99"/>
        <v>17</v>
      </c>
      <c r="P100" s="22">
        <f t="shared" si="99"/>
        <v>16</v>
      </c>
      <c r="Q100" s="22">
        <f t="shared" si="99"/>
        <v>16</v>
      </c>
      <c r="R100" s="22">
        <f t="shared" si="99"/>
        <v>17</v>
      </c>
      <c r="S100" s="22">
        <f t="shared" si="99"/>
        <v>16</v>
      </c>
      <c r="T100" s="22">
        <f t="shared" si="99"/>
        <v>16</v>
      </c>
      <c r="U100" s="22">
        <f t="shared" si="99"/>
        <v>16</v>
      </c>
      <c r="V100" s="22">
        <f t="shared" si="99"/>
        <v>16</v>
      </c>
      <c r="W100" s="22">
        <f t="shared" si="99"/>
        <v>16</v>
      </c>
      <c r="X100" s="22">
        <f t="shared" si="99"/>
        <v>16</v>
      </c>
      <c r="Y100" s="42">
        <f t="shared" si="99"/>
        <v>16</v>
      </c>
      <c r="Z100" s="44">
        <f t="shared" si="99"/>
        <v>16</v>
      </c>
      <c r="AA100" s="22">
        <f t="shared" si="99"/>
        <v>16</v>
      </c>
      <c r="AB100" s="22">
        <f t="shared" si="99"/>
        <v>16</v>
      </c>
      <c r="AC100" s="22">
        <f t="shared" si="99"/>
        <v>16</v>
      </c>
      <c r="AD100" s="22">
        <f t="shared" si="99"/>
        <v>17</v>
      </c>
      <c r="AE100" s="34">
        <f t="shared" si="99"/>
        <v>16</v>
      </c>
      <c r="AF100" s="34">
        <f t="shared" si="99"/>
        <v>16</v>
      </c>
      <c r="AG100" s="22">
        <f t="shared" si="99"/>
        <v>17</v>
      </c>
      <c r="AH100" s="22">
        <f t="shared" si="99"/>
        <v>16</v>
      </c>
      <c r="AI100" s="22">
        <f t="shared" si="99"/>
        <v>16</v>
      </c>
      <c r="AJ100" s="22">
        <f t="shared" ref="AJ100:BC100" si="100">COUNTIF(AJ6:AJ76,"D*")</f>
        <v>16</v>
      </c>
      <c r="AK100" s="22">
        <f t="shared" si="100"/>
        <v>16</v>
      </c>
      <c r="AL100" s="34">
        <f t="shared" si="100"/>
        <v>16</v>
      </c>
      <c r="AM100" s="34">
        <f t="shared" si="100"/>
        <v>16</v>
      </c>
      <c r="AN100" s="22">
        <f t="shared" si="100"/>
        <v>16</v>
      </c>
      <c r="AO100" s="22">
        <f t="shared" si="100"/>
        <v>16</v>
      </c>
      <c r="AP100" s="22">
        <f t="shared" si="100"/>
        <v>16</v>
      </c>
      <c r="AQ100" s="22">
        <f t="shared" si="100"/>
        <v>16</v>
      </c>
      <c r="AR100" s="34">
        <f t="shared" si="100"/>
        <v>16</v>
      </c>
      <c r="AS100" s="34">
        <f t="shared" si="100"/>
        <v>16</v>
      </c>
      <c r="AT100" s="34">
        <f t="shared" si="100"/>
        <v>16</v>
      </c>
      <c r="AU100" s="22">
        <f t="shared" si="100"/>
        <v>17</v>
      </c>
      <c r="AV100" s="22">
        <f t="shared" si="100"/>
        <v>16</v>
      </c>
      <c r="AW100" s="22">
        <f t="shared" si="100"/>
        <v>16</v>
      </c>
      <c r="AX100" s="22">
        <f t="shared" si="100"/>
        <v>16</v>
      </c>
      <c r="AY100" s="22">
        <f t="shared" si="100"/>
        <v>16</v>
      </c>
      <c r="AZ100" s="34">
        <f t="shared" si="100"/>
        <v>16</v>
      </c>
      <c r="BA100" s="34">
        <f t="shared" si="100"/>
        <v>16</v>
      </c>
      <c r="BB100" s="22">
        <f t="shared" si="100"/>
        <v>16</v>
      </c>
      <c r="BC100" s="22">
        <f t="shared" si="100"/>
        <v>16</v>
      </c>
      <c r="BD100" s="22" t="s">
        <v>51</v>
      </c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</row>
    <row r="101" spans="1:156" s="3" customFormat="1" ht="30" customHeight="1">
      <c r="A101" s="1"/>
      <c r="B101" s="1"/>
      <c r="C101" s="22" t="s">
        <v>7</v>
      </c>
      <c r="D101" s="22">
        <f t="shared" ref="D101:AI101" si="101">COUNTIF(D6:D76,"E*")</f>
        <v>15</v>
      </c>
      <c r="E101" s="22">
        <f t="shared" si="101"/>
        <v>15</v>
      </c>
      <c r="F101" s="22">
        <f t="shared" si="101"/>
        <v>16</v>
      </c>
      <c r="G101" s="22">
        <f t="shared" si="101"/>
        <v>16</v>
      </c>
      <c r="H101" s="22">
        <f t="shared" si="101"/>
        <v>16</v>
      </c>
      <c r="I101" s="22">
        <f t="shared" si="101"/>
        <v>14</v>
      </c>
      <c r="J101" s="22">
        <f t="shared" si="101"/>
        <v>13</v>
      </c>
      <c r="K101" s="22">
        <f t="shared" si="101"/>
        <v>15</v>
      </c>
      <c r="L101" s="22">
        <f t="shared" si="101"/>
        <v>14</v>
      </c>
      <c r="M101" s="22">
        <f t="shared" si="101"/>
        <v>15</v>
      </c>
      <c r="N101" s="22">
        <f t="shared" si="101"/>
        <v>16</v>
      </c>
      <c r="O101" s="22">
        <f t="shared" si="101"/>
        <v>15</v>
      </c>
      <c r="P101" s="22">
        <f t="shared" si="101"/>
        <v>16</v>
      </c>
      <c r="Q101" s="22">
        <f t="shared" si="101"/>
        <v>16</v>
      </c>
      <c r="R101" s="22">
        <f t="shared" si="101"/>
        <v>16</v>
      </c>
      <c r="S101" s="22">
        <f t="shared" si="101"/>
        <v>17</v>
      </c>
      <c r="T101" s="22">
        <f t="shared" si="101"/>
        <v>16</v>
      </c>
      <c r="U101" s="22">
        <f t="shared" si="101"/>
        <v>16</v>
      </c>
      <c r="V101" s="22">
        <f t="shared" si="101"/>
        <v>16</v>
      </c>
      <c r="W101" s="22">
        <f t="shared" si="101"/>
        <v>16</v>
      </c>
      <c r="X101" s="22">
        <f t="shared" si="101"/>
        <v>16</v>
      </c>
      <c r="Y101" s="42">
        <f t="shared" si="101"/>
        <v>15</v>
      </c>
      <c r="Z101" s="44">
        <f t="shared" si="101"/>
        <v>15</v>
      </c>
      <c r="AA101" s="22">
        <f t="shared" si="101"/>
        <v>15</v>
      </c>
      <c r="AB101" s="22">
        <f t="shared" si="101"/>
        <v>15</v>
      </c>
      <c r="AC101" s="22">
        <f t="shared" si="101"/>
        <v>15</v>
      </c>
      <c r="AD101" s="22">
        <f t="shared" si="101"/>
        <v>16</v>
      </c>
      <c r="AE101" s="34">
        <f t="shared" si="101"/>
        <v>16</v>
      </c>
      <c r="AF101" s="34">
        <f t="shared" si="101"/>
        <v>15</v>
      </c>
      <c r="AG101" s="22">
        <f t="shared" si="101"/>
        <v>15</v>
      </c>
      <c r="AH101" s="22">
        <f t="shared" si="101"/>
        <v>16</v>
      </c>
      <c r="AI101" s="22">
        <f t="shared" si="101"/>
        <v>15</v>
      </c>
      <c r="AJ101" s="22">
        <f t="shared" ref="AJ101:BC101" si="102">COUNTIF(AJ6:AJ76,"E*")</f>
        <v>15</v>
      </c>
      <c r="AK101" s="22">
        <f t="shared" si="102"/>
        <v>16</v>
      </c>
      <c r="AL101" s="34">
        <f t="shared" si="102"/>
        <v>16</v>
      </c>
      <c r="AM101" s="34">
        <f t="shared" si="102"/>
        <v>15</v>
      </c>
      <c r="AN101" s="22">
        <f t="shared" si="102"/>
        <v>15</v>
      </c>
      <c r="AO101" s="22">
        <f t="shared" si="102"/>
        <v>15</v>
      </c>
      <c r="AP101" s="22">
        <f t="shared" si="102"/>
        <v>15</v>
      </c>
      <c r="AQ101" s="22">
        <f t="shared" si="102"/>
        <v>16</v>
      </c>
      <c r="AR101" s="34">
        <f t="shared" si="102"/>
        <v>15</v>
      </c>
      <c r="AS101" s="34">
        <f t="shared" si="102"/>
        <v>15</v>
      </c>
      <c r="AT101" s="34">
        <f t="shared" si="102"/>
        <v>15</v>
      </c>
      <c r="AU101" s="22">
        <f t="shared" si="102"/>
        <v>16</v>
      </c>
      <c r="AV101" s="22">
        <f t="shared" si="102"/>
        <v>16</v>
      </c>
      <c r="AW101" s="22">
        <f t="shared" si="102"/>
        <v>15</v>
      </c>
      <c r="AX101" s="22">
        <f t="shared" si="102"/>
        <v>15</v>
      </c>
      <c r="AY101" s="22">
        <f t="shared" si="102"/>
        <v>16</v>
      </c>
      <c r="AZ101" s="34">
        <f t="shared" si="102"/>
        <v>16</v>
      </c>
      <c r="BA101" s="34">
        <f t="shared" si="102"/>
        <v>16</v>
      </c>
      <c r="BB101" s="22">
        <f t="shared" si="102"/>
        <v>15</v>
      </c>
      <c r="BC101" s="22">
        <f t="shared" si="102"/>
        <v>15</v>
      </c>
      <c r="BD101" s="22" t="s">
        <v>7</v>
      </c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</row>
    <row r="102" spans="1:156" s="3" customFormat="1" ht="30" customHeight="1">
      <c r="A102" s="1"/>
      <c r="B102" s="1"/>
      <c r="C102" s="22" t="s">
        <v>8</v>
      </c>
      <c r="D102" s="22">
        <f t="shared" ref="D102:AI102" si="103">COUNTIF(D6:D76,"N*")</f>
        <v>14</v>
      </c>
      <c r="E102" s="22">
        <f t="shared" si="103"/>
        <v>14</v>
      </c>
      <c r="F102" s="22">
        <f t="shared" si="103"/>
        <v>14</v>
      </c>
      <c r="G102" s="22">
        <f t="shared" si="103"/>
        <v>14</v>
      </c>
      <c r="H102" s="22">
        <f t="shared" si="103"/>
        <v>14</v>
      </c>
      <c r="I102" s="22">
        <f t="shared" si="103"/>
        <v>12</v>
      </c>
      <c r="J102" s="22">
        <f t="shared" si="103"/>
        <v>14</v>
      </c>
      <c r="K102" s="22">
        <f t="shared" si="103"/>
        <v>14</v>
      </c>
      <c r="L102" s="22">
        <f t="shared" si="103"/>
        <v>14</v>
      </c>
      <c r="M102" s="22">
        <f t="shared" si="103"/>
        <v>14</v>
      </c>
      <c r="N102" s="22">
        <f t="shared" si="103"/>
        <v>14</v>
      </c>
      <c r="O102" s="22">
        <f t="shared" si="103"/>
        <v>14</v>
      </c>
      <c r="P102" s="22">
        <f t="shared" si="103"/>
        <v>14</v>
      </c>
      <c r="Q102" s="22">
        <f t="shared" si="103"/>
        <v>14</v>
      </c>
      <c r="R102" s="22">
        <f t="shared" si="103"/>
        <v>14</v>
      </c>
      <c r="S102" s="22">
        <f t="shared" si="103"/>
        <v>15</v>
      </c>
      <c r="T102" s="22">
        <f t="shared" si="103"/>
        <v>14</v>
      </c>
      <c r="U102" s="22">
        <f t="shared" si="103"/>
        <v>14</v>
      </c>
      <c r="V102" s="22">
        <f t="shared" si="103"/>
        <v>14</v>
      </c>
      <c r="W102" s="22">
        <f t="shared" si="103"/>
        <v>14</v>
      </c>
      <c r="X102" s="22">
        <f t="shared" si="103"/>
        <v>14</v>
      </c>
      <c r="Y102" s="42">
        <f t="shared" si="103"/>
        <v>14</v>
      </c>
      <c r="Z102" s="44">
        <f t="shared" si="103"/>
        <v>14</v>
      </c>
      <c r="AA102" s="22">
        <f t="shared" si="103"/>
        <v>14</v>
      </c>
      <c r="AB102" s="22">
        <f t="shared" si="103"/>
        <v>14</v>
      </c>
      <c r="AC102" s="22">
        <f t="shared" si="103"/>
        <v>14</v>
      </c>
      <c r="AD102" s="22">
        <f t="shared" si="103"/>
        <v>14</v>
      </c>
      <c r="AE102" s="34">
        <f t="shared" si="103"/>
        <v>14</v>
      </c>
      <c r="AF102" s="34">
        <f t="shared" si="103"/>
        <v>14</v>
      </c>
      <c r="AG102" s="22">
        <f t="shared" si="103"/>
        <v>14</v>
      </c>
      <c r="AH102" s="22">
        <f t="shared" si="103"/>
        <v>14</v>
      </c>
      <c r="AI102" s="22">
        <f t="shared" si="103"/>
        <v>14</v>
      </c>
      <c r="AJ102" s="22">
        <f t="shared" ref="AJ102:BC102" si="104">COUNTIF(AJ6:AJ76,"N*")</f>
        <v>14</v>
      </c>
      <c r="AK102" s="22">
        <f t="shared" si="104"/>
        <v>14</v>
      </c>
      <c r="AL102" s="34">
        <f t="shared" si="104"/>
        <v>14</v>
      </c>
      <c r="AM102" s="34">
        <f t="shared" si="104"/>
        <v>14</v>
      </c>
      <c r="AN102" s="22">
        <f t="shared" si="104"/>
        <v>14</v>
      </c>
      <c r="AO102" s="22">
        <f t="shared" si="104"/>
        <v>14</v>
      </c>
      <c r="AP102" s="22">
        <f t="shared" si="104"/>
        <v>14</v>
      </c>
      <c r="AQ102" s="22">
        <f t="shared" si="104"/>
        <v>14</v>
      </c>
      <c r="AR102" s="34">
        <f t="shared" si="104"/>
        <v>14</v>
      </c>
      <c r="AS102" s="34">
        <f t="shared" si="104"/>
        <v>14</v>
      </c>
      <c r="AT102" s="34">
        <f t="shared" si="104"/>
        <v>14</v>
      </c>
      <c r="AU102" s="22">
        <f t="shared" si="104"/>
        <v>14</v>
      </c>
      <c r="AV102" s="22">
        <f t="shared" si="104"/>
        <v>14</v>
      </c>
      <c r="AW102" s="22">
        <f t="shared" si="104"/>
        <v>14</v>
      </c>
      <c r="AX102" s="22">
        <f t="shared" si="104"/>
        <v>14</v>
      </c>
      <c r="AY102" s="22">
        <f t="shared" si="104"/>
        <v>14</v>
      </c>
      <c r="AZ102" s="34">
        <f t="shared" si="104"/>
        <v>14</v>
      </c>
      <c r="BA102" s="34">
        <f t="shared" si="104"/>
        <v>14</v>
      </c>
      <c r="BB102" s="22">
        <f t="shared" si="104"/>
        <v>14</v>
      </c>
      <c r="BC102" s="22">
        <f t="shared" si="104"/>
        <v>14</v>
      </c>
      <c r="BD102" s="22" t="s">
        <v>8</v>
      </c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</row>
    <row r="103" spans="1:156" s="3" customFormat="1">
      <c r="A103" s="1"/>
      <c r="B103" s="1"/>
      <c r="C103" s="1" t="s">
        <v>121</v>
      </c>
      <c r="D103" s="1"/>
      <c r="E103" s="1"/>
      <c r="F103" s="1"/>
      <c r="G103" s="1"/>
      <c r="H103" s="1"/>
      <c r="I103" s="1"/>
      <c r="J103" s="1"/>
      <c r="K103" s="1" t="str">
        <f>IF(K79=14,"O","X")</f>
        <v>X</v>
      </c>
      <c r="L103" s="1" t="str">
        <f>IF(L79=14,"O","X")</f>
        <v>O</v>
      </c>
      <c r="M103" s="1" t="str">
        <f>IF(M79=14,"O","X")</f>
        <v>X</v>
      </c>
      <c r="N103" s="1"/>
      <c r="O103" s="1"/>
      <c r="P103" s="1"/>
      <c r="Q103" s="1"/>
      <c r="R103" s="1"/>
      <c r="S103" s="1"/>
      <c r="T103" s="1"/>
      <c r="Z103" s="1" t="str">
        <f>IF(Z79=14,"O","X")</f>
        <v>X</v>
      </c>
      <c r="AA103" s="1" t="str">
        <f>IF(AA79=14,"O","X")</f>
        <v>X</v>
      </c>
      <c r="AB103" s="1" t="str">
        <f>IF(AB79=14,"O","X")</f>
        <v>X</v>
      </c>
      <c r="AC103" s="1" t="str">
        <f>IF(AC79=14,"O","X")</f>
        <v>X</v>
      </c>
      <c r="AD103" s="1"/>
      <c r="AE103" s="1"/>
      <c r="AF103" s="1"/>
      <c r="AG103" s="1"/>
      <c r="AH103" s="1" t="str">
        <f>IF(AH79=14,"O","X")</f>
        <v>X</v>
      </c>
      <c r="AI103" s="1" t="str">
        <f>IF(AI79=14,"O","X")</f>
        <v>X</v>
      </c>
      <c r="AJ103" s="1" t="str">
        <f>IF(AJ79=14,"O","X")</f>
        <v>X</v>
      </c>
      <c r="AK103" s="1" t="str">
        <f>IF(AK79=14,"O","X")</f>
        <v>X</v>
      </c>
      <c r="AL103" s="1"/>
      <c r="AM103" s="1"/>
      <c r="AN103" s="1"/>
      <c r="AO103" s="1"/>
      <c r="AP103" s="1" t="str">
        <f>IF(AP79=14,"O","X")</f>
        <v>X</v>
      </c>
      <c r="AQ103" s="1" t="str">
        <f>IF(AQ79=14,"O","X")</f>
        <v>X</v>
      </c>
      <c r="AR103" s="1" t="str">
        <f>IF(AR79=14,"O","X")</f>
        <v>X</v>
      </c>
      <c r="AS103" s="1" t="str">
        <f>IF(AS79=14,"O","X")</f>
        <v>X</v>
      </c>
      <c r="AT103" s="1"/>
      <c r="AU103" s="1"/>
      <c r="AV103" s="1"/>
      <c r="AW103" s="1"/>
      <c r="AX103" s="1" t="str">
        <f>IF(AX79=14,"O","X")</f>
        <v>X</v>
      </c>
      <c r="AY103" s="1" t="str">
        <f>IF(AY79=14,"O","X")</f>
        <v>X</v>
      </c>
      <c r="AZ103" s="1" t="str">
        <f>IF(AZ79=14,"O","X")</f>
        <v>X</v>
      </c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</row>
    <row r="104" spans="1:156" s="3" customFormat="1">
      <c r="B104" s="39"/>
      <c r="U104" s="1" t="str">
        <f>IF(U80=14,"O","X")</f>
        <v>O</v>
      </c>
      <c r="V104" s="1" t="str">
        <f>IF(V80=14,"O","X")</f>
        <v>O</v>
      </c>
      <c r="W104" s="1" t="str">
        <f>IF(W80=14,"O","X")</f>
        <v>O</v>
      </c>
      <c r="X104" s="1"/>
      <c r="Y104" s="1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</row>
    <row r="105" spans="1:156" ht="15" customHeight="1">
      <c r="U105" s="3"/>
      <c r="V105" s="3"/>
      <c r="W105" s="3"/>
      <c r="X105" s="3"/>
      <c r="Y105" s="3"/>
      <c r="AE105" s="25"/>
      <c r="AF105" s="25"/>
      <c r="AL105" s="25"/>
      <c r="AM105" s="25"/>
      <c r="AR105" s="25"/>
      <c r="AS105" s="25"/>
      <c r="AT105" s="25"/>
      <c r="AZ105" s="25"/>
      <c r="BA105" s="25"/>
    </row>
    <row r="106" spans="1:156" ht="15" customHeight="1">
      <c r="AE106" s="25"/>
      <c r="AF106" s="25"/>
      <c r="AL106" s="25"/>
      <c r="AM106" s="25"/>
      <c r="AR106" s="25"/>
      <c r="AS106" s="25"/>
      <c r="AT106" s="25"/>
      <c r="AZ106" s="25"/>
      <c r="BA106" s="25"/>
    </row>
    <row r="107" spans="1:156" ht="15" customHeight="1">
      <c r="AE107" s="25"/>
      <c r="AF107" s="25"/>
      <c r="AL107" s="25"/>
      <c r="AM107" s="25"/>
      <c r="AR107" s="25"/>
      <c r="AS107" s="25"/>
      <c r="AT107" s="25"/>
      <c r="AZ107" s="25"/>
      <c r="BA107" s="25"/>
    </row>
    <row r="108" spans="1:156" ht="15" customHeight="1">
      <c r="AE108" s="25"/>
      <c r="AF108" s="25"/>
      <c r="AL108" s="25"/>
      <c r="AM108" s="25"/>
      <c r="AR108" s="25"/>
      <c r="AS108" s="25"/>
      <c r="AT108" s="25"/>
      <c r="AZ108" s="25"/>
      <c r="BA108" s="25"/>
    </row>
    <row r="109" spans="1:156" ht="15" customHeight="1">
      <c r="AE109" s="25"/>
      <c r="AF109" s="25"/>
      <c r="AL109" s="25"/>
      <c r="AM109" s="25"/>
      <c r="AR109" s="25"/>
      <c r="AS109" s="25"/>
      <c r="AT109" s="25"/>
      <c r="AZ109" s="25"/>
      <c r="BA109" s="25"/>
    </row>
    <row r="110" spans="1:156" ht="15" customHeight="1">
      <c r="AE110" s="25"/>
      <c r="AF110" s="25"/>
      <c r="AL110" s="25"/>
      <c r="AM110" s="25"/>
      <c r="AR110" s="25"/>
      <c r="AS110" s="25"/>
      <c r="AT110" s="25"/>
      <c r="AZ110" s="25"/>
      <c r="BA110" s="25"/>
    </row>
    <row r="111" spans="1:156" ht="15" customHeight="1">
      <c r="AE111" s="25"/>
      <c r="AF111" s="25"/>
      <c r="AL111" s="25"/>
      <c r="AM111" s="25"/>
      <c r="AR111" s="25"/>
      <c r="AS111" s="25"/>
      <c r="AT111" s="25"/>
      <c r="AZ111" s="25"/>
      <c r="BA111" s="25"/>
    </row>
    <row r="112" spans="1:156" ht="15" customHeight="1">
      <c r="AE112" s="25"/>
      <c r="AF112" s="25"/>
      <c r="AL112" s="25"/>
      <c r="AM112" s="25"/>
      <c r="AR112" s="25"/>
      <c r="AS112" s="25"/>
      <c r="AT112" s="25"/>
      <c r="AZ112" s="25"/>
      <c r="BA112" s="25"/>
    </row>
    <row r="113" spans="31:53" ht="15" customHeight="1">
      <c r="AE113" s="25"/>
      <c r="AF113" s="25"/>
      <c r="AL113" s="25"/>
      <c r="AM113" s="25"/>
      <c r="AR113" s="25"/>
      <c r="AS113" s="25"/>
      <c r="AT113" s="25"/>
      <c r="AZ113" s="25"/>
      <c r="BA113" s="25"/>
    </row>
    <row r="114" spans="31:53" ht="15" customHeight="1">
      <c r="AE114" s="25"/>
      <c r="AF114" s="25"/>
      <c r="AL114" s="25"/>
      <c r="AM114" s="25"/>
      <c r="AR114" s="25"/>
      <c r="AS114" s="25"/>
      <c r="AT114" s="25"/>
      <c r="AZ114" s="25"/>
      <c r="BA114" s="25"/>
    </row>
    <row r="115" spans="31:53" ht="15" customHeight="1">
      <c r="AE115" s="25"/>
      <c r="AF115" s="25"/>
      <c r="AL115" s="25"/>
      <c r="AM115" s="25"/>
      <c r="AR115" s="25"/>
      <c r="AS115" s="25"/>
      <c r="AT115" s="25"/>
      <c r="AZ115" s="25"/>
      <c r="BA115" s="25"/>
    </row>
    <row r="116" spans="31:53" ht="15" customHeight="1">
      <c r="AE116" s="25"/>
      <c r="AF116" s="25"/>
      <c r="AL116" s="25"/>
      <c r="AM116" s="25"/>
      <c r="AR116" s="25"/>
      <c r="AS116" s="25"/>
      <c r="AT116" s="25"/>
      <c r="AZ116" s="25"/>
      <c r="BA116" s="25"/>
    </row>
    <row r="117" spans="31:53" ht="15" customHeight="1">
      <c r="AE117" s="25"/>
      <c r="AF117" s="25"/>
      <c r="AL117" s="25"/>
      <c r="AM117" s="25"/>
      <c r="AR117" s="25"/>
      <c r="AS117" s="25"/>
      <c r="AT117" s="25"/>
      <c r="AZ117" s="25"/>
      <c r="BA117" s="25"/>
    </row>
    <row r="118" spans="31:53" ht="15" customHeight="1">
      <c r="AE118" s="25"/>
      <c r="AF118" s="25"/>
      <c r="AL118" s="25"/>
      <c r="AM118" s="25"/>
      <c r="AR118" s="25"/>
      <c r="AS118" s="25"/>
      <c r="AT118" s="25"/>
      <c r="AZ118" s="25"/>
      <c r="BA118" s="25"/>
    </row>
    <row r="119" spans="31:53" ht="15" customHeight="1">
      <c r="AE119" s="25"/>
      <c r="AF119" s="25"/>
      <c r="AL119" s="25"/>
      <c r="AM119" s="25"/>
      <c r="AR119" s="25"/>
      <c r="AS119" s="25"/>
      <c r="AT119" s="25"/>
      <c r="AZ119" s="25"/>
      <c r="BA119" s="25"/>
    </row>
    <row r="120" spans="31:53" ht="15" customHeight="1">
      <c r="AE120" s="25"/>
      <c r="AF120" s="25"/>
      <c r="AL120" s="25"/>
      <c r="AM120" s="25"/>
      <c r="AR120" s="25"/>
      <c r="AS120" s="25"/>
      <c r="AT120" s="25"/>
      <c r="AZ120" s="25"/>
      <c r="BA120" s="25"/>
    </row>
    <row r="121" spans="31:53" ht="15" customHeight="1">
      <c r="AE121" s="25"/>
      <c r="AF121" s="25"/>
      <c r="AL121" s="25"/>
      <c r="AM121" s="25"/>
      <c r="AR121" s="25"/>
      <c r="AS121" s="25"/>
      <c r="AT121" s="25"/>
      <c r="AZ121" s="25"/>
      <c r="BA121" s="25"/>
    </row>
    <row r="122" spans="31:53" ht="15" customHeight="1">
      <c r="AE122" s="25"/>
      <c r="AF122" s="25"/>
      <c r="AL122" s="25"/>
      <c r="AM122" s="25"/>
      <c r="AR122" s="25"/>
      <c r="AS122" s="25"/>
      <c r="AT122" s="25"/>
      <c r="AZ122" s="25"/>
      <c r="BA122" s="25"/>
    </row>
    <row r="123" spans="31:53" ht="15" customHeight="1">
      <c r="AE123" s="25"/>
      <c r="AF123" s="25"/>
      <c r="AL123" s="25"/>
      <c r="AM123" s="25"/>
      <c r="AR123" s="25"/>
      <c r="AS123" s="25"/>
      <c r="AT123" s="25"/>
      <c r="AZ123" s="25"/>
      <c r="BA123" s="25"/>
    </row>
    <row r="124" spans="31:53" ht="15" customHeight="1">
      <c r="AE124" s="25"/>
      <c r="AF124" s="25"/>
      <c r="AL124" s="25"/>
      <c r="AM124" s="25"/>
      <c r="AR124" s="25"/>
      <c r="AS124" s="25"/>
      <c r="AT124" s="25"/>
      <c r="AZ124" s="25"/>
      <c r="BA124" s="25"/>
    </row>
    <row r="125" spans="31:53" ht="15" customHeight="1">
      <c r="AE125" s="25"/>
      <c r="AF125" s="25"/>
      <c r="AL125" s="25"/>
      <c r="AM125" s="25"/>
      <c r="AR125" s="25"/>
      <c r="AS125" s="25"/>
      <c r="AT125" s="25"/>
      <c r="AZ125" s="25"/>
      <c r="BA125" s="25"/>
    </row>
    <row r="126" spans="31:53" ht="15" customHeight="1">
      <c r="AE126" s="25"/>
      <c r="AF126" s="25"/>
      <c r="AL126" s="25"/>
      <c r="AM126" s="25"/>
      <c r="AR126" s="25"/>
      <c r="AS126" s="25"/>
      <c r="AT126" s="25"/>
      <c r="AZ126" s="25"/>
      <c r="BA126" s="25"/>
    </row>
    <row r="127" spans="31:53" ht="15" customHeight="1">
      <c r="AE127" s="25"/>
      <c r="AF127" s="25"/>
      <c r="AL127" s="25"/>
      <c r="AM127" s="25"/>
      <c r="AR127" s="25"/>
      <c r="AS127" s="25"/>
      <c r="AT127" s="25"/>
      <c r="AZ127" s="25"/>
      <c r="BA127" s="25"/>
    </row>
    <row r="128" spans="31:53" ht="15" customHeight="1">
      <c r="AE128" s="25"/>
      <c r="AF128" s="25"/>
      <c r="AL128" s="25"/>
      <c r="AM128" s="25"/>
      <c r="AR128" s="25"/>
      <c r="AS128" s="25"/>
      <c r="AT128" s="25"/>
      <c r="AZ128" s="25"/>
      <c r="BA128" s="25"/>
    </row>
    <row r="129" spans="31:53" ht="15" customHeight="1">
      <c r="AE129" s="25"/>
      <c r="AF129" s="25"/>
      <c r="AL129" s="25"/>
      <c r="AM129" s="25"/>
      <c r="AR129" s="25"/>
      <c r="AS129" s="25"/>
      <c r="AT129" s="25"/>
      <c r="AZ129" s="25"/>
      <c r="BA129" s="25"/>
    </row>
    <row r="130" spans="31:53" ht="15" customHeight="1">
      <c r="AE130" s="25"/>
      <c r="AF130" s="25"/>
      <c r="AL130" s="25"/>
      <c r="AM130" s="25"/>
      <c r="AR130" s="25"/>
      <c r="AS130" s="25"/>
      <c r="AT130" s="25"/>
      <c r="AZ130" s="25"/>
      <c r="BA130" s="25"/>
    </row>
    <row r="131" spans="31:53" ht="15" customHeight="1">
      <c r="AE131" s="25"/>
      <c r="AF131" s="25"/>
      <c r="AL131" s="25"/>
      <c r="AM131" s="25"/>
      <c r="AR131" s="25"/>
      <c r="AS131" s="25"/>
      <c r="AT131" s="25"/>
      <c r="AZ131" s="25"/>
      <c r="BA131" s="25"/>
    </row>
    <row r="132" spans="31:53" ht="15" customHeight="1">
      <c r="AE132" s="25"/>
      <c r="AF132" s="25"/>
      <c r="AL132" s="25"/>
      <c r="AM132" s="25"/>
      <c r="AR132" s="25"/>
      <c r="AS132" s="25"/>
      <c r="AT132" s="25"/>
      <c r="AZ132" s="25"/>
      <c r="BA132" s="25"/>
    </row>
    <row r="133" spans="31:53" ht="15" customHeight="1">
      <c r="AE133" s="25"/>
      <c r="AF133" s="25"/>
      <c r="AL133" s="25"/>
      <c r="AM133" s="25"/>
      <c r="AR133" s="25"/>
      <c r="AS133" s="25"/>
      <c r="AT133" s="25"/>
      <c r="AZ133" s="25"/>
      <c r="BA133" s="25"/>
    </row>
    <row r="134" spans="31:53" ht="15" customHeight="1">
      <c r="AE134" s="25"/>
      <c r="AF134" s="25"/>
      <c r="AL134" s="25"/>
      <c r="AM134" s="25"/>
      <c r="AR134" s="25"/>
      <c r="AS134" s="25"/>
      <c r="AT134" s="25"/>
      <c r="AZ134" s="25"/>
      <c r="BA134" s="25"/>
    </row>
    <row r="135" spans="31:53" ht="15" customHeight="1">
      <c r="AE135" s="25"/>
      <c r="AF135" s="25"/>
      <c r="AL135" s="25"/>
      <c r="AM135" s="25"/>
      <c r="AR135" s="25"/>
      <c r="AS135" s="25"/>
      <c r="AT135" s="25"/>
      <c r="AZ135" s="25"/>
      <c r="BA135" s="25"/>
    </row>
    <row r="136" spans="31:53" ht="15" customHeight="1">
      <c r="AE136" s="25"/>
      <c r="AF136" s="25"/>
      <c r="AL136" s="25"/>
      <c r="AM136" s="25"/>
      <c r="AR136" s="25"/>
      <c r="AS136" s="25"/>
      <c r="AT136" s="25"/>
      <c r="AZ136" s="25"/>
      <c r="BA136" s="25"/>
    </row>
    <row r="137" spans="31:53" ht="15" customHeight="1">
      <c r="AE137" s="25"/>
      <c r="AF137" s="25"/>
      <c r="AL137" s="25"/>
      <c r="AM137" s="25"/>
      <c r="AR137" s="25"/>
      <c r="AS137" s="25"/>
      <c r="AT137" s="25"/>
      <c r="AZ137" s="25"/>
      <c r="BA137" s="25"/>
    </row>
    <row r="138" spans="31:53" ht="15" customHeight="1">
      <c r="AE138" s="25"/>
      <c r="AF138" s="25"/>
      <c r="AL138" s="25"/>
      <c r="AM138" s="25"/>
      <c r="AR138" s="25"/>
      <c r="AS138" s="25"/>
      <c r="AT138" s="25"/>
      <c r="AZ138" s="25"/>
      <c r="BA138" s="25"/>
    </row>
    <row r="139" spans="31:53" ht="15" customHeight="1">
      <c r="AE139" s="25"/>
      <c r="AF139" s="25"/>
      <c r="AL139" s="25"/>
      <c r="AM139" s="25"/>
      <c r="AR139" s="25"/>
      <c r="AS139" s="25"/>
      <c r="AT139" s="25"/>
      <c r="AZ139" s="25"/>
      <c r="BA139" s="25"/>
    </row>
    <row r="140" spans="31:53" ht="15" customHeight="1">
      <c r="AE140" s="25"/>
      <c r="AF140" s="25"/>
      <c r="AL140" s="25"/>
      <c r="AM140" s="25"/>
      <c r="AR140" s="25"/>
      <c r="AS140" s="25"/>
      <c r="AT140" s="25"/>
      <c r="AZ140" s="25"/>
      <c r="BA140" s="25"/>
    </row>
    <row r="141" spans="31:53" ht="15" customHeight="1">
      <c r="AE141" s="25"/>
      <c r="AF141" s="25"/>
      <c r="AL141" s="25"/>
      <c r="AM141" s="25"/>
      <c r="AR141" s="25"/>
      <c r="AS141" s="25"/>
      <c r="AT141" s="25"/>
      <c r="AZ141" s="25"/>
      <c r="BA141" s="25"/>
    </row>
    <row r="142" spans="31:53" ht="15" customHeight="1">
      <c r="AE142" s="25"/>
      <c r="AF142" s="25"/>
      <c r="AL142" s="25"/>
      <c r="AM142" s="25"/>
      <c r="AR142" s="25"/>
      <c r="AS142" s="25"/>
      <c r="AT142" s="25"/>
      <c r="AZ142" s="25"/>
      <c r="BA142" s="25"/>
    </row>
    <row r="143" spans="31:53" ht="15" customHeight="1">
      <c r="AE143" s="25"/>
      <c r="AF143" s="25"/>
      <c r="AL143" s="25"/>
      <c r="AM143" s="25"/>
      <c r="AR143" s="25"/>
      <c r="AS143" s="25"/>
      <c r="AT143" s="25"/>
      <c r="AZ143" s="25"/>
      <c r="BA143" s="25"/>
    </row>
    <row r="144" spans="31:53" ht="15" customHeight="1">
      <c r="AE144" s="25"/>
      <c r="AF144" s="25"/>
      <c r="AL144" s="25"/>
      <c r="AM144" s="25"/>
      <c r="AR144" s="25"/>
      <c r="AS144" s="25"/>
      <c r="AT144" s="25"/>
      <c r="AZ144" s="25"/>
      <c r="BA144" s="25"/>
    </row>
    <row r="145" spans="31:53" ht="15" customHeight="1">
      <c r="AE145" s="25"/>
      <c r="AF145" s="25"/>
      <c r="AL145" s="25"/>
      <c r="AM145" s="25"/>
      <c r="AR145" s="25"/>
      <c r="AS145" s="25"/>
      <c r="AT145" s="25"/>
      <c r="AZ145" s="25"/>
      <c r="BA145" s="25"/>
    </row>
    <row r="146" spans="31:53" ht="15" customHeight="1">
      <c r="AE146" s="25"/>
      <c r="AF146" s="25"/>
      <c r="AL146" s="25"/>
      <c r="AM146" s="25"/>
      <c r="AR146" s="25"/>
      <c r="AS146" s="25"/>
      <c r="AT146" s="25"/>
      <c r="AZ146" s="25"/>
      <c r="BA146" s="25"/>
    </row>
    <row r="147" spans="31:53" ht="15" customHeight="1">
      <c r="AE147" s="25"/>
      <c r="AF147" s="25"/>
      <c r="AL147" s="25"/>
      <c r="AM147" s="25"/>
      <c r="AR147" s="25"/>
      <c r="AS147" s="25"/>
      <c r="AT147" s="25"/>
      <c r="AZ147" s="25"/>
      <c r="BA147" s="25"/>
    </row>
    <row r="148" spans="31:53" ht="15" customHeight="1">
      <c r="AE148" s="25"/>
      <c r="AF148" s="25"/>
      <c r="AL148" s="25"/>
      <c r="AM148" s="25"/>
      <c r="AR148" s="25"/>
      <c r="AS148" s="25"/>
      <c r="AT148" s="25"/>
      <c r="AZ148" s="25"/>
      <c r="BA148" s="25"/>
    </row>
    <row r="149" spans="31:53" ht="15" customHeight="1">
      <c r="AE149" s="25"/>
      <c r="AF149" s="25"/>
      <c r="AL149" s="25"/>
      <c r="AM149" s="25"/>
      <c r="AR149" s="25"/>
      <c r="AS149" s="25"/>
      <c r="AT149" s="25"/>
      <c r="AZ149" s="25"/>
      <c r="BA149" s="25"/>
    </row>
    <row r="150" spans="31:53" ht="15" customHeight="1">
      <c r="AE150" s="25"/>
      <c r="AF150" s="25"/>
      <c r="AL150" s="25"/>
      <c r="AM150" s="25"/>
      <c r="AR150" s="25"/>
      <c r="AS150" s="25"/>
      <c r="AT150" s="25"/>
      <c r="AZ150" s="25"/>
      <c r="BA150" s="25"/>
    </row>
    <row r="151" spans="31:53" ht="15" customHeight="1">
      <c r="AE151" s="25"/>
      <c r="AF151" s="25"/>
      <c r="AL151" s="25"/>
      <c r="AM151" s="25"/>
      <c r="AR151" s="25"/>
      <c r="AS151" s="25"/>
      <c r="AT151" s="25"/>
      <c r="AZ151" s="25"/>
      <c r="BA151" s="25"/>
    </row>
    <row r="152" spans="31:53" ht="15" customHeight="1">
      <c r="AE152" s="25"/>
      <c r="AF152" s="25"/>
      <c r="AL152" s="25"/>
      <c r="AM152" s="25"/>
      <c r="AR152" s="25"/>
      <c r="AS152" s="25"/>
      <c r="AT152" s="25"/>
      <c r="AZ152" s="25"/>
      <c r="BA152" s="25"/>
    </row>
    <row r="153" spans="31:53" ht="15" customHeight="1">
      <c r="AE153" s="25"/>
      <c r="AF153" s="25"/>
      <c r="AL153" s="25"/>
      <c r="AM153" s="25"/>
      <c r="AR153" s="25"/>
      <c r="AS153" s="25"/>
      <c r="AT153" s="25"/>
      <c r="AZ153" s="25"/>
      <c r="BA153" s="25"/>
    </row>
    <row r="154" spans="31:53" ht="15" customHeight="1">
      <c r="AE154" s="25"/>
      <c r="AF154" s="25"/>
      <c r="AL154" s="25"/>
      <c r="AM154" s="25"/>
      <c r="AR154" s="25"/>
      <c r="AS154" s="25"/>
      <c r="AT154" s="25"/>
      <c r="AZ154" s="25"/>
      <c r="BA154" s="25"/>
    </row>
    <row r="155" spans="31:53" ht="15" customHeight="1">
      <c r="AE155" s="25"/>
      <c r="AF155" s="25"/>
      <c r="AL155" s="25"/>
      <c r="AM155" s="25"/>
      <c r="AR155" s="25"/>
      <c r="AS155" s="25"/>
      <c r="AT155" s="25"/>
      <c r="AZ155" s="25"/>
      <c r="BA155" s="25"/>
    </row>
    <row r="156" spans="31:53" ht="15" customHeight="1">
      <c r="AE156" s="25"/>
      <c r="AF156" s="25"/>
      <c r="AL156" s="25"/>
      <c r="AM156" s="25"/>
      <c r="AR156" s="25"/>
      <c r="AS156" s="25"/>
      <c r="AT156" s="25"/>
      <c r="AZ156" s="25"/>
      <c r="BA156" s="25"/>
    </row>
    <row r="157" spans="31:53" ht="15" customHeight="1">
      <c r="AE157" s="25"/>
      <c r="AF157" s="25"/>
      <c r="AL157" s="25"/>
      <c r="AM157" s="25"/>
      <c r="AR157" s="25"/>
      <c r="AS157" s="25"/>
      <c r="AT157" s="25"/>
      <c r="AZ157" s="25"/>
      <c r="BA157" s="25"/>
    </row>
    <row r="158" spans="31:53" ht="15" customHeight="1">
      <c r="AE158" s="25"/>
      <c r="AF158" s="25"/>
      <c r="AL158" s="25"/>
      <c r="AM158" s="25"/>
      <c r="AR158" s="25"/>
      <c r="AS158" s="25"/>
      <c r="AT158" s="25"/>
      <c r="AZ158" s="25"/>
      <c r="BA158" s="25"/>
    </row>
    <row r="159" spans="31:53" ht="15" customHeight="1">
      <c r="AE159" s="25"/>
      <c r="AF159" s="25"/>
      <c r="AL159" s="25"/>
      <c r="AM159" s="25"/>
      <c r="AR159" s="25"/>
      <c r="AS159" s="25"/>
      <c r="AT159" s="25"/>
      <c r="AZ159" s="25"/>
      <c r="BA159" s="25"/>
    </row>
    <row r="160" spans="31:53" ht="15" customHeight="1">
      <c r="AE160" s="25"/>
      <c r="AF160" s="25"/>
      <c r="AL160" s="25"/>
      <c r="AM160" s="25"/>
      <c r="AR160" s="25"/>
      <c r="AS160" s="25"/>
      <c r="AT160" s="25"/>
      <c r="AZ160" s="25"/>
      <c r="BA160" s="25"/>
    </row>
    <row r="161" spans="31:53" ht="15" customHeight="1">
      <c r="AE161" s="25"/>
      <c r="AF161" s="25"/>
      <c r="AL161" s="25"/>
      <c r="AM161" s="25"/>
      <c r="AR161" s="25"/>
      <c r="AS161" s="25"/>
      <c r="AT161" s="25"/>
      <c r="AZ161" s="25"/>
      <c r="BA161" s="25"/>
    </row>
    <row r="162" spans="31:53" ht="15" customHeight="1">
      <c r="AE162" s="25"/>
      <c r="AF162" s="25"/>
      <c r="AL162" s="25"/>
      <c r="AM162" s="25"/>
      <c r="AR162" s="25"/>
      <c r="AS162" s="25"/>
      <c r="AT162" s="25"/>
      <c r="AZ162" s="25"/>
      <c r="BA162" s="25"/>
    </row>
    <row r="163" spans="31:53" ht="15" customHeight="1">
      <c r="AE163" s="25"/>
      <c r="AF163" s="25"/>
      <c r="AL163" s="25"/>
      <c r="AM163" s="25"/>
      <c r="AR163" s="25"/>
      <c r="AS163" s="25"/>
      <c r="AT163" s="25"/>
      <c r="AZ163" s="25"/>
      <c r="BA163" s="25"/>
    </row>
    <row r="164" spans="31:53" ht="15" customHeight="1">
      <c r="AE164" s="25"/>
      <c r="AF164" s="25"/>
      <c r="AL164" s="25"/>
      <c r="AM164" s="25"/>
      <c r="AR164" s="25"/>
      <c r="AS164" s="25"/>
      <c r="AT164" s="25"/>
      <c r="AZ164" s="25"/>
      <c r="BA164" s="25"/>
    </row>
    <row r="165" spans="31:53" ht="15" customHeight="1">
      <c r="AE165" s="25"/>
      <c r="AF165" s="25"/>
      <c r="AL165" s="25"/>
      <c r="AM165" s="25"/>
      <c r="AR165" s="25"/>
      <c r="AS165" s="25"/>
      <c r="AT165" s="25"/>
      <c r="AZ165" s="25"/>
      <c r="BA165" s="25"/>
    </row>
    <row r="166" spans="31:53" ht="15" customHeight="1">
      <c r="AE166" s="25"/>
      <c r="AF166" s="25"/>
      <c r="AL166" s="25"/>
      <c r="AM166" s="25"/>
      <c r="AR166" s="25"/>
      <c r="AS166" s="25"/>
      <c r="AT166" s="25"/>
      <c r="AZ166" s="25"/>
      <c r="BA166" s="25"/>
    </row>
    <row r="167" spans="31:53" ht="15" customHeight="1">
      <c r="AE167" s="25"/>
      <c r="AF167" s="25"/>
      <c r="AL167" s="25"/>
      <c r="AM167" s="25"/>
      <c r="AR167" s="25"/>
      <c r="AS167" s="25"/>
      <c r="AT167" s="25"/>
      <c r="AZ167" s="25"/>
      <c r="BA167" s="25"/>
    </row>
    <row r="168" spans="31:53" ht="15" customHeight="1">
      <c r="AE168" s="25"/>
      <c r="AF168" s="25"/>
      <c r="AL168" s="25"/>
      <c r="AM168" s="25"/>
      <c r="AR168" s="25"/>
      <c r="AS168" s="25"/>
      <c r="AT168" s="25"/>
      <c r="AZ168" s="25"/>
      <c r="BA168" s="25"/>
    </row>
    <row r="169" spans="31:53" ht="15" customHeight="1">
      <c r="AE169" s="25"/>
      <c r="AF169" s="25"/>
      <c r="AL169" s="25"/>
      <c r="AM169" s="25"/>
      <c r="AR169" s="25"/>
      <c r="AS169" s="25"/>
      <c r="AT169" s="25"/>
      <c r="AZ169" s="25"/>
      <c r="BA169" s="25"/>
    </row>
    <row r="170" spans="31:53" ht="15" customHeight="1">
      <c r="AE170" s="25"/>
      <c r="AF170" s="25"/>
      <c r="AL170" s="25"/>
      <c r="AM170" s="25"/>
      <c r="AR170" s="25"/>
      <c r="AS170" s="25"/>
      <c r="AT170" s="25"/>
      <c r="AZ170" s="25"/>
      <c r="BA170" s="25"/>
    </row>
    <row r="171" spans="31:53" ht="15" customHeight="1">
      <c r="AE171" s="25"/>
      <c r="AF171" s="25"/>
      <c r="AL171" s="25"/>
      <c r="AM171" s="25"/>
      <c r="AR171" s="25"/>
      <c r="AS171" s="25"/>
      <c r="AT171" s="25"/>
      <c r="AZ171" s="25"/>
      <c r="BA171" s="25"/>
    </row>
    <row r="172" spans="31:53" ht="15" customHeight="1">
      <c r="AE172" s="25"/>
      <c r="AF172" s="25"/>
      <c r="AL172" s="25"/>
      <c r="AM172" s="25"/>
      <c r="AR172" s="25"/>
      <c r="AS172" s="25"/>
      <c r="AT172" s="25"/>
      <c r="AZ172" s="25"/>
      <c r="BA172" s="25"/>
    </row>
    <row r="173" spans="31:53" ht="15" customHeight="1">
      <c r="AE173" s="25"/>
      <c r="AF173" s="25"/>
      <c r="AL173" s="25"/>
      <c r="AM173" s="25"/>
      <c r="AR173" s="25"/>
      <c r="AS173" s="25"/>
      <c r="AT173" s="25"/>
      <c r="AZ173" s="25"/>
      <c r="BA173" s="25"/>
    </row>
    <row r="174" spans="31:53" ht="15" customHeight="1">
      <c r="AE174" s="25"/>
      <c r="AF174" s="25"/>
      <c r="AL174" s="25"/>
      <c r="AM174" s="25"/>
      <c r="AR174" s="25"/>
      <c r="AS174" s="25"/>
      <c r="AT174" s="25"/>
      <c r="AZ174" s="25"/>
      <c r="BA174" s="25"/>
    </row>
    <row r="175" spans="31:53" ht="15" customHeight="1">
      <c r="AE175" s="25"/>
      <c r="AF175" s="25"/>
      <c r="AL175" s="25"/>
      <c r="AM175" s="25"/>
      <c r="AR175" s="25"/>
      <c r="AS175" s="25"/>
      <c r="AT175" s="25"/>
      <c r="AZ175" s="25"/>
      <c r="BA175" s="25"/>
    </row>
    <row r="176" spans="31:53" ht="15" customHeight="1">
      <c r="AE176" s="25"/>
      <c r="AF176" s="25"/>
      <c r="AL176" s="25"/>
      <c r="AM176" s="25"/>
      <c r="AR176" s="25"/>
      <c r="AS176" s="25"/>
      <c r="AT176" s="25"/>
      <c r="AZ176" s="25"/>
      <c r="BA176" s="25"/>
    </row>
    <row r="177" spans="31:53" ht="15" customHeight="1">
      <c r="AE177" s="25"/>
      <c r="AF177" s="25"/>
      <c r="AL177" s="25"/>
      <c r="AM177" s="25"/>
      <c r="AR177" s="25"/>
      <c r="AS177" s="25"/>
      <c r="AT177" s="25"/>
      <c r="AZ177" s="25"/>
      <c r="BA177" s="25"/>
    </row>
    <row r="178" spans="31:53" ht="15" customHeight="1">
      <c r="AE178" s="25"/>
      <c r="AF178" s="25"/>
      <c r="AL178" s="25"/>
      <c r="AM178" s="25"/>
      <c r="AR178" s="25"/>
      <c r="AS178" s="25"/>
      <c r="AT178" s="25"/>
      <c r="AZ178" s="25"/>
      <c r="BA178" s="25"/>
    </row>
    <row r="179" spans="31:53" ht="15" customHeight="1">
      <c r="AE179" s="25"/>
      <c r="AF179" s="25"/>
      <c r="AL179" s="25"/>
      <c r="AM179" s="25"/>
      <c r="AR179" s="25"/>
      <c r="AS179" s="25"/>
      <c r="AT179" s="25"/>
      <c r="AZ179" s="25"/>
      <c r="BA179" s="25"/>
    </row>
    <row r="180" spans="31:53" ht="15" customHeight="1">
      <c r="AE180" s="25"/>
      <c r="AF180" s="25"/>
      <c r="AL180" s="25"/>
      <c r="AM180" s="25"/>
      <c r="AR180" s="25"/>
      <c r="AS180" s="25"/>
      <c r="AT180" s="25"/>
      <c r="AZ180" s="25"/>
      <c r="BA180" s="25"/>
    </row>
    <row r="181" spans="31:53">
      <c r="AE181" s="25"/>
      <c r="AF181" s="25"/>
      <c r="AL181" s="25"/>
      <c r="AM181" s="25"/>
      <c r="AR181" s="25"/>
      <c r="AS181" s="25"/>
      <c r="AT181" s="25"/>
      <c r="AZ181" s="25"/>
      <c r="BA181" s="25"/>
    </row>
    <row r="182" spans="31:53">
      <c r="AE182" s="25"/>
      <c r="AF182" s="25"/>
      <c r="AL182" s="25"/>
      <c r="AM182" s="25"/>
      <c r="AR182" s="25"/>
      <c r="AS182" s="25"/>
      <c r="AT182" s="25"/>
      <c r="AZ182" s="25"/>
      <c r="BA182" s="25"/>
    </row>
    <row r="183" spans="31:53">
      <c r="AE183" s="25"/>
      <c r="AF183" s="25"/>
      <c r="AL183" s="25"/>
      <c r="AM183" s="25"/>
      <c r="AR183" s="25"/>
      <c r="AS183" s="25"/>
      <c r="AT183" s="25"/>
      <c r="AZ183" s="25"/>
      <c r="BA183" s="25"/>
    </row>
    <row r="184" spans="31:53">
      <c r="AE184" s="25"/>
      <c r="AF184" s="25"/>
      <c r="AL184" s="25"/>
      <c r="AM184" s="25"/>
      <c r="AR184" s="25"/>
      <c r="AS184" s="25"/>
      <c r="AT184" s="25"/>
      <c r="AZ184" s="25"/>
      <c r="BA184" s="25"/>
    </row>
    <row r="185" spans="31:53">
      <c r="AE185" s="25"/>
      <c r="AF185" s="25"/>
      <c r="AL185" s="25"/>
      <c r="AM185" s="25"/>
      <c r="AR185" s="25"/>
      <c r="AS185" s="25"/>
      <c r="AT185" s="25"/>
      <c r="AZ185" s="25"/>
      <c r="BA185" s="25"/>
    </row>
    <row r="186" spans="31:53">
      <c r="AE186" s="25"/>
      <c r="AF186" s="25"/>
      <c r="AL186" s="25"/>
      <c r="AM186" s="25"/>
      <c r="AR186" s="25"/>
      <c r="AS186" s="25"/>
      <c r="AT186" s="25"/>
      <c r="AZ186" s="25"/>
      <c r="BA186" s="25"/>
    </row>
    <row r="187" spans="31:53">
      <c r="AE187" s="25"/>
      <c r="AF187" s="25"/>
      <c r="AL187" s="25"/>
      <c r="AM187" s="25"/>
      <c r="AR187" s="25"/>
      <c r="AS187" s="25"/>
      <c r="AT187" s="25"/>
      <c r="AZ187" s="25"/>
      <c r="BA187" s="25"/>
    </row>
    <row r="188" spans="31:53">
      <c r="AE188" s="25"/>
      <c r="AF188" s="25"/>
      <c r="AL188" s="25"/>
      <c r="AM188" s="25"/>
      <c r="AR188" s="25"/>
      <c r="AS188" s="25"/>
      <c r="AT188" s="25"/>
      <c r="AZ188" s="25"/>
      <c r="BA188" s="25"/>
    </row>
    <row r="189" spans="31:53">
      <c r="AE189" s="25"/>
      <c r="AF189" s="25"/>
      <c r="AL189" s="25"/>
      <c r="AM189" s="25"/>
      <c r="AR189" s="25"/>
      <c r="AS189" s="25"/>
      <c r="AT189" s="25"/>
      <c r="AZ189" s="25"/>
      <c r="BA189" s="25"/>
    </row>
    <row r="190" spans="31:53">
      <c r="AE190" s="25"/>
      <c r="AF190" s="25"/>
      <c r="AL190" s="25"/>
      <c r="AM190" s="25"/>
      <c r="AR190" s="25"/>
      <c r="AS190" s="25"/>
      <c r="AT190" s="25"/>
      <c r="AZ190" s="25"/>
      <c r="BA190" s="25"/>
    </row>
    <row r="191" spans="31:53">
      <c r="AE191" s="25"/>
      <c r="AF191" s="25"/>
      <c r="AL191" s="25"/>
      <c r="AM191" s="25"/>
      <c r="AR191" s="25"/>
      <c r="AS191" s="25"/>
      <c r="AT191" s="25"/>
      <c r="AZ191" s="25"/>
      <c r="BA191" s="25"/>
    </row>
    <row r="192" spans="31:53">
      <c r="AE192" s="25"/>
      <c r="AF192" s="25"/>
      <c r="AL192" s="25"/>
      <c r="AM192" s="25"/>
      <c r="AR192" s="25"/>
      <c r="AS192" s="25"/>
      <c r="AT192" s="25"/>
      <c r="AZ192" s="25"/>
      <c r="BA192" s="25"/>
    </row>
    <row r="193" spans="31:53">
      <c r="AE193" s="25"/>
      <c r="AF193" s="25"/>
      <c r="AL193" s="25"/>
      <c r="AM193" s="25"/>
      <c r="AR193" s="25"/>
      <c r="AS193" s="25"/>
      <c r="AT193" s="25"/>
      <c r="AZ193" s="25"/>
      <c r="BA193" s="25"/>
    </row>
    <row r="194" spans="31:53">
      <c r="AE194" s="25"/>
      <c r="AF194" s="25"/>
      <c r="AL194" s="25"/>
      <c r="AM194" s="25"/>
      <c r="AR194" s="25"/>
      <c r="AS194" s="25"/>
      <c r="AT194" s="25"/>
      <c r="AZ194" s="25"/>
      <c r="BA194" s="25"/>
    </row>
    <row r="195" spans="31:53">
      <c r="AE195" s="25"/>
      <c r="AF195" s="25"/>
      <c r="AL195" s="25"/>
      <c r="AM195" s="25"/>
      <c r="AR195" s="25"/>
      <c r="AS195" s="25"/>
      <c r="AT195" s="25"/>
      <c r="AZ195" s="25"/>
      <c r="BA195" s="25"/>
    </row>
    <row r="196" spans="31:53">
      <c r="AE196" s="25"/>
      <c r="AF196" s="25"/>
      <c r="AL196" s="25"/>
      <c r="AM196" s="25"/>
      <c r="AR196" s="25"/>
      <c r="AS196" s="25"/>
      <c r="AT196" s="25"/>
      <c r="AZ196" s="25"/>
      <c r="BA196" s="25"/>
    </row>
    <row r="197" spans="31:53">
      <c r="AE197" s="25"/>
      <c r="AF197" s="25"/>
      <c r="AL197" s="25"/>
      <c r="AM197" s="25"/>
      <c r="AR197" s="25"/>
      <c r="AS197" s="25"/>
      <c r="AT197" s="25"/>
      <c r="AZ197" s="25"/>
      <c r="BA197" s="25"/>
    </row>
    <row r="198" spans="31:53">
      <c r="AE198" s="25"/>
      <c r="AF198" s="25"/>
      <c r="AL198" s="25"/>
      <c r="AM198" s="25"/>
      <c r="AR198" s="25"/>
      <c r="AS198" s="25"/>
      <c r="AT198" s="25"/>
      <c r="AZ198" s="25"/>
      <c r="BA198" s="25"/>
    </row>
    <row r="199" spans="31:53">
      <c r="AE199" s="25"/>
      <c r="AF199" s="25"/>
      <c r="AL199" s="25"/>
      <c r="AM199" s="25"/>
      <c r="AR199" s="25"/>
      <c r="AS199" s="25"/>
      <c r="AT199" s="25"/>
      <c r="AZ199" s="25"/>
      <c r="BA199" s="25"/>
    </row>
    <row r="200" spans="31:53">
      <c r="AE200" s="25"/>
      <c r="AF200" s="25"/>
      <c r="AL200" s="25"/>
      <c r="AM200" s="25"/>
      <c r="AR200" s="25"/>
      <c r="AS200" s="25"/>
      <c r="AT200" s="25"/>
      <c r="AZ200" s="25"/>
      <c r="BA200" s="25"/>
    </row>
    <row r="201" spans="31:53">
      <c r="AE201" s="25"/>
      <c r="AF201" s="25"/>
      <c r="AL201" s="25"/>
      <c r="AM201" s="25"/>
      <c r="AR201" s="25"/>
      <c r="AS201" s="25"/>
      <c r="AT201" s="25"/>
      <c r="AZ201" s="25"/>
      <c r="BA201" s="25"/>
    </row>
    <row r="202" spans="31:53">
      <c r="AE202" s="25"/>
      <c r="AF202" s="25"/>
      <c r="AL202" s="25"/>
      <c r="AM202" s="25"/>
      <c r="AR202" s="25"/>
      <c r="AS202" s="25"/>
      <c r="AT202" s="25"/>
      <c r="AZ202" s="25"/>
      <c r="BA202" s="25"/>
    </row>
    <row r="203" spans="31:53">
      <c r="AE203" s="25"/>
      <c r="AF203" s="25"/>
      <c r="AL203" s="25"/>
      <c r="AM203" s="25"/>
      <c r="AR203" s="25"/>
      <c r="AS203" s="25"/>
      <c r="AT203" s="25"/>
      <c r="AZ203" s="25"/>
      <c r="BA203" s="25"/>
    </row>
  </sheetData>
  <mergeCells count="9">
    <mergeCell ref="A95:B95"/>
    <mergeCell ref="A96:B96"/>
    <mergeCell ref="A97:B97"/>
    <mergeCell ref="C1:BC1"/>
    <mergeCell ref="A78:B80"/>
    <mergeCell ref="A81:B83"/>
    <mergeCell ref="A84:B86"/>
    <mergeCell ref="A87:B89"/>
    <mergeCell ref="A90:B92"/>
  </mergeCells>
  <phoneticPr fontId="2" type="noConversion"/>
  <conditionalFormatting sqref="BH5:BH76">
    <cfRule type="cellIs" dxfId="4" priority="27" operator="notEqual">
      <formula>21</formula>
    </cfRule>
  </conditionalFormatting>
  <conditionalFormatting sqref="BK5:BK76 BT5:BT76">
    <cfRule type="cellIs" dxfId="3" priority="31" operator="notEqual">
      <formula>7</formula>
    </cfRule>
  </conditionalFormatting>
  <conditionalFormatting sqref="BN5:BN76 BU5:BU76">
    <cfRule type="cellIs" dxfId="2" priority="28" operator="notEqual">
      <formula>1</formula>
    </cfRule>
  </conditionalFormatting>
  <conditionalFormatting sqref="BO5:BP76">
    <cfRule type="cellIs" dxfId="1" priority="29" operator="notEqual">
      <formula>4</formula>
    </cfRule>
  </conditionalFormatting>
  <conditionalFormatting sqref="BQ5:BQ76">
    <cfRule type="cellIs" dxfId="0" priority="30" operator="notEqual">
      <formula>8</formula>
    </cfRule>
  </conditionalFormatting>
  <dataValidations count="3">
    <dataValidation type="decimal" operator="equal" allowBlank="1" showErrorMessage="1" sqref="BQ82:BQ103 BQ2:BQ80" xr:uid="{00000000-0002-0000-0000-000000000000}">
      <formula1>8</formula1>
    </dataValidation>
    <dataValidation type="decimal" operator="equal" allowBlank="1" showErrorMessage="1" sqref="BN82:BN103 BN79:BN80 BN3:BN4" xr:uid="{00000000-0002-0000-0000-000001000000}">
      <formula1>7</formula1>
    </dataValidation>
    <dataValidation type="whole" errorStyle="warning" allowBlank="1" showInputMessage="1" showErrorMessage="1" sqref="D80:BC80" xr:uid="{00000000-0002-0000-0000-000002000000}">
      <formula1>15</formula1>
      <formula2>16</formula2>
    </dataValidation>
  </dataValidations>
  <pageMargins left="0.7" right="0.7" top="0.75" bottom="0.75" header="0.3" footer="0.3"/>
  <pageSetup paperSize="9" orientation="portrait" horizontalDpi="0" verticalDpi="0" r:id="rId1"/>
  <ignoredErrors>
    <ignoredError sqref="D77:BC7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鼎淵 林</cp:lastModifiedBy>
  <dcterms:created xsi:type="dcterms:W3CDTF">2026-05-25T09:55:48Z</dcterms:created>
  <dcterms:modified xsi:type="dcterms:W3CDTF">2026-07-01T14:16:43Z</dcterms:modified>
</cp:coreProperties>
</file>